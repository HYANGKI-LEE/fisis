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Desktop\이향기\fisis\output\"/>
    </mc:Choice>
  </mc:AlternateContent>
  <bookViews>
    <workbookView xWindow="0" yWindow="0" windowWidth="25845" windowHeight="73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<sst xmlns="http://schemas.openxmlformats.org/spreadsheetml/2006/main" count="32" uniqueCount="13">
  <si>
    <t>시작</t>
  </si>
  <si>
    <t>종료</t>
  </si>
  <si>
    <t>Data 개수</t>
  </si>
  <si>
    <t>주기</t>
  </si>
  <si>
    <t>월</t>
  </si>
  <si>
    <t>정렬</t>
  </si>
  <si>
    <t>영업일</t>
  </si>
  <si>
    <t>시세산출</t>
  </si>
  <si>
    <t>종가</t>
  </si>
  <si>
    <t>일자</t>
  </si>
  <si>
    <t>현재가</t>
  </si>
  <si>
    <t>A</t>
    <phoneticPr fontId="1" type="noConversion"/>
  </si>
  <si>
    <t>단위: 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</si>
</sst>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  <xf numFmtId="49" fontId="0" fillId="8" borderId="0" xfId="0" applyNumberFormat="1" applyFill="1">
      <alignment vertical="center"/>
    </xf>
    <xf numFmtId="49" fontId="0" fillId="9" borderId="0" xfId="0" applyNumberFormat="1" applyFill="1">
      <alignment vertical="center"/>
    </xf>
    <xf numFmtId="49" fontId="0" fillId="10" borderId="0" xfId="0" applyNumberFormat="1" applyFill="1">
      <alignment vertical="center"/>
    </xf>
    <xf numFmtId="49" fontId="0" fillId="11" borderId="0" xfId="0" applyNumberFormat="1" applyFill="1">
      <alignment vertical="center"/>
    </xf>
    <xf numFmtId="49" fontId="0" fillId="12" borderId="0" xfId="0" applyNumberFormat="1" applyFill="1">
      <alignment vertical="center"/>
    </xf>
    <xf numFmtId="49" fontId="0" fillId="13" borderId="0" xfId="0" applyNumberFormat="1" applyFill="1">
      <alignment vertical="center"/>
    </xf>
    <xf numFmtId="49" fontId="0" fillId="1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x9.Rfpi1</stp>
        <stp>99</stp>
        <stp>604744</stp>
        <tr r="J2" s="1"/>
      </tp>
      <tp>
        <v>0</v>
        <stp/>
        <stp>H</stp>
        <stp>x20.Rfpi1</stp>
        <stp>88</stp>
        <stp>604744</stp>
        <tr r="U2" s="1"/>
      </tp>
      <tp>
        <v>0</v>
        <stp/>
        <stp>H</stp>
        <stp>x18.Rfpi1</stp>
        <stp>90</stp>
        <stp>604744</stp>
        <tr r="S2" s="1"/>
      </tp>
      <tp>
        <v>0</v>
        <stp/>
        <stp>H</stp>
        <stp>x19.Rfpi1</stp>
        <stp>89</stp>
        <stp>604744</stp>
        <tr r="T2" s="1"/>
      </tp>
      <tp>
        <v>0</v>
        <stp/>
        <stp>H</stp>
        <stp>x15.Rfpi1</stp>
        <stp>93</stp>
        <stp>604744</stp>
        <tr r="P2" s="1"/>
      </tp>
      <tp>
        <v>0</v>
        <stp/>
        <stp>H</stp>
        <stp>x14.Rfpi1</stp>
        <stp>94</stp>
        <stp>604744</stp>
        <tr r="O2" s="1"/>
      </tp>
      <tp>
        <v>0</v>
        <stp/>
        <stp>H</stp>
        <stp>x17.Rfpi1</stp>
        <stp>91</stp>
        <stp>604744</stp>
        <tr r="R2" s="1"/>
      </tp>
      <tp>
        <v>0</v>
        <stp/>
        <stp>H</stp>
        <stp>x16.Rfpi1</stp>
        <stp>92</stp>
        <stp>604744</stp>
        <tr r="Q2" s="1"/>
      </tp>
      <tp>
        <v>0</v>
        <stp/>
        <stp>H</stp>
        <stp>x11.Rfpi1</stp>
        <stp>97</stp>
        <stp>604744</stp>
        <tr r="L2" s="1"/>
      </tp>
      <tp>
        <v>0</v>
        <stp/>
        <stp>H</stp>
        <stp>x10.Rfpi1</stp>
        <stp>98</stp>
        <stp>604744</stp>
        <tr r="K2" s="1"/>
      </tp>
      <tp>
        <v>0</v>
        <stp/>
        <stp>H</stp>
        <stp>x13.Rfpi1</stp>
        <stp>95</stp>
        <stp>604744</stp>
        <tr r="N2" s="1"/>
      </tp>
      <tp>
        <v>0</v>
        <stp/>
        <stp>H</stp>
        <stp>x12.Rfpi1</stp>
        <stp>96</stp>
        <stp>604744</stp>
        <tr r="M2" s="1"/>
      </tp>
      <tp>
        <v>0</v>
        <stp/>
        <stp>H</stp>
        <stp>x8.Rfpi1</stp>
        <stp>100</stp>
        <stp>604744</stp>
        <tr r="I2" s="1"/>
      </tp>
      <tp>
        <v>0</v>
        <stp/>
        <stp>H</stp>
        <stp>x6.Rfpi1</stp>
        <stp>102</stp>
        <stp>604744</stp>
        <tr r="G2" s="1"/>
      </tp>
      <tp>
        <v>0</v>
        <stp/>
        <stp>H</stp>
        <stp>x7.Rfpi1</stp>
        <stp>101</stp>
        <stp>604744</stp>
        <tr r="H2" s="1"/>
      </tp>
      <tp>
        <v>0</v>
        <stp/>
        <stp>H</stp>
        <stp>x4.Rfpi1</stp>
        <stp>104</stp>
        <stp>604744</stp>
        <tr r="E2" s="1"/>
      </tp>
      <tp>
        <v>0</v>
        <stp/>
        <stp>H</stp>
        <stp>x5.Rfpi1</stp>
        <stp>103</stp>
        <stp>604744</stp>
        <tr r="F2" s="1"/>
      </tp>
      <tp>
        <v>0</v>
        <stp/>
        <stp>H</stp>
        <stp>x2.Rfpi1</stp>
        <stp>106</stp>
        <stp>604744</stp>
        <tr r="C2" s="1"/>
      </tp>
      <tp>
        <v>0</v>
        <stp/>
        <stp>H</stp>
        <stp>x3.Rfpi1</stp>
        <stp>105</stp>
        <stp>604744</stp>
        <tr r="D2" s="1"/>
      </tp>
      <tp>
        <v>0</v>
        <stp/>
        <stp>H</stp>
        <stp>x1.Rfpi1</stp>
        <stp>107</stp>
        <stp>604744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03"/>
  <sheetViews>
    <sheetView tabSelected="1" workbookViewId="0">
      <pane xSplit="1" ySplit="3" topLeftCell="B89" activePane="bottomRight" state="frozen"/>
      <selection pane="topRight" activeCell="B1" sqref="B1"/>
      <selection pane="bottomLeft" activeCell="A4" sqref="A4"/>
      <selection pane="bottomRight" activeCell="A103" sqref="A103"/>
    </sheetView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21" x14ac:dyDescent="0.3">
      <c r="A1" s="1" t="s">
        <v>0</v>
      </c>
      <c r="B1" s="2">
        <v>32905</v>
      </c>
      <c r="C1" s="1" t="s">
        <v>1</v>
      </c>
      <c r="D1" s="2">
        <f ca="1">TODAY()</f>
        <v>46301</v>
      </c>
      <c r="E1" s="1" t="s">
        <v>2</v>
      </c>
      <c r="F1">
        <v>100</v>
      </c>
      <c r="G1" s="1" t="s">
        <v>3</v>
      </c>
      <c r="H1" t="s">
        <v>4</v>
      </c>
      <c r="I1" s="1" t="s">
        <v>5</v>
      </c>
      <c r="J1" t="s">
        <v>11</v>
      </c>
      <c r="K1" s="1" t="s">
        <v>6</v>
      </c>
      <c r="L1">
        <v>2</v>
      </c>
      <c r="M1" s="1" t="s">
        <v>7</v>
      </c>
      <c r="N1" t="s">
        <v>8</v>
      </c>
    </row>
    <row r="2" spans="1:21" x14ac:dyDescent="0.3">
      <c r="A2" t="str">
        <f ca="1">_xll.IMDH("ECO","68",A3:B3,$B$1,$D$1,$F$1,"Per="&amp;$H$1&amp;",sort="&amp;$J$1&amp;",real=false,Bizday="&amp;$L$1&amp;",Quote="&amp;$N$1&amp;",Pos=20,Orient=V,Title=한국:기준금리,DtFmt=1,TmFmt=1,unit=true")</f>
        <v>한국:기준금리</v>
      </c>
      <c r="B2" t="s">
        <v>12</v>
      </c>
      <c r="C2" t="str">
        <f ca="1">_xll.IMDH("ECO","715290",C3:C3,$B$1,$D$1,$F$1,"Per="&amp;$H$1&amp;",sort="&amp;$J$1&amp;",real=false,Bizday="&amp;$L$1&amp;",Quote="&amp;$N$1&amp;",Pos=20,Orient=V,Title=한국:대출태도:상호저축은행,DtFmt=1,TmFmt=1,unit=true")</f>
        <v>한국:대출태도:상호저축은행</v>
      </c>
      <c r="D2" t="str">
        <f ca="1">_xll.IMDH("ECO","715300",D3:D3,$B$1,$D$1,$F$1,"Per="&amp;$H$1&amp;",sort="&amp;$J$1&amp;",real=false,Bizday="&amp;$L$1&amp;",Quote="&amp;$N$1&amp;",Pos=20,Orient=V,Title=한국:신용위험:비은행금융기관:상호저축은행,DtFmt=1,TmFmt=1,unit=true")</f>
        <v>한국:신용위험:비은행금융기관:상호저축은행</v>
      </c>
      <c r="E2" t="str">
        <f ca="1">_xll.IMDH("ECO","715311",E3:E3,$B$1,$D$1,$F$1,"Per="&amp;$H$1&amp;",sort="&amp;$J$1&amp;",real=false,Bizday="&amp;$L$1&amp;",Quote="&amp;$N$1&amp;",Pos=20,Orient=V,Title=한국:대출수요:상호저축은행,DtFmt=1,TmFmt=1,unit=true")</f>
        <v>한국:대출수요:상호저축은행</v>
      </c>
      <c r="F2" t="str">
        <f ca="1">_xll.IMDH("ECO","707954",F3:F3,$B$1,$D$1,$F$1,"Per="&amp;$H$1&amp;",sort="&amp;$J$1&amp;",real=false,Bizday="&amp;$L$1&amp;",Quote="&amp;$N$1&amp;",Pos=20,Orient=V,Title=한국:비은행예금취급기관 상호저축은행,DtFmt=1,TmFmt=1,unit=true")</f>
        <v>한국:비은행예금취급기관 상호저축은행</v>
      </c>
      <c r="G2" t="str">
        <f ca="1">_xll.IMDH("ECO","703228",G3:G3,$B$1,$D$1,$F$1,"Per="&amp;$H$1&amp;",sort="&amp;$J$1&amp;",real=false,Bizday="&amp;$L$1&amp;",Quote="&amp;$N$1&amp;",Pos=20,Orient=V,Title=한국:비은행예금취급기관 상호저축은행,DtFmt=1,TmFmt=1,unit=true")</f>
        <v>한국:비은행예금취급기관 상호저축은행</v>
      </c>
      <c r="H2" t="str">
        <f ca="1">_xll.IMDH("ECO","807060",H3:H3,$B$1,$D$1,$F$1,"Per="&amp;$H$1&amp;",sort="&amp;$J$1&amp;",real=false,Bizday="&amp;$L$1&amp;",Quote="&amp;$N$1&amp;",Pos=20,Orient=V,Title=한국:비은행금융기관대출금(기말):상호저축은행,DtFmt=1,TmFmt=1,unit=true")</f>
        <v>한국:비은행금융기관대출금(기말):상호저축은행</v>
      </c>
      <c r="I2" t="str">
        <f ca="1">_xll.IMDH("ECO","809425",I3:I3,$B$1,$D$1,$F$1,"Per="&amp;$H$1&amp;",sort="&amp;$J$1&amp;",real=false,Bizday="&amp;$L$1&amp;",Quote="&amp;$N$1&amp;",Pos=20,Orient=V,Title=한국:비은행 수신금리:신규취급액:상호저축은행-정기예금(1년),DtFmt=1,TmFmt=1,unit=true")</f>
        <v>한국:비은행 수신금리:신규취급액:상호저축은행-정기예금(1년)</v>
      </c>
      <c r="J2" t="str">
        <f ca="1">_xll.IMDH("ECO","809437",J3:J3,$B$1,$D$1,$F$1,"Per="&amp;$H$1&amp;",sort="&amp;$J$1&amp;",real=false,Bizday="&amp;$L$1&amp;",Quote="&amp;$N$1&amp;",Pos=20,Orient=V,Title=한국:비은행 대출금리:신규취급액:상호저축은행,DtFmt=1,TmFmt=1,unit=true")</f>
        <v>한국:비은행 대출금리:신규취급액:상호저축은행</v>
      </c>
      <c r="K2" t="str">
        <f ca="1">_xll.IMDH("ECO","809438",K3:K3,$B$1,$D$1,$F$1,"Per="&amp;$H$1&amp;",sort="&amp;$J$1&amp;",real=false,Bizday="&amp;$L$1&amp;",Quote="&amp;$N$1&amp;",Pos=20,Orient=V,Title=한국:비은행 대출금리:신규취급액:상호저축은행:계약금액내대출,DtFmt=1,TmFmt=1,unit=true")</f>
        <v>한국:비은행 대출금리:신규취급액:상호저축은행:계약금액내대출</v>
      </c>
      <c r="L2" t="str">
        <f ca="1">_xll.IMDH("ECO","809439",L3:L3,$B$1,$D$1,$F$1,"Per="&amp;$H$1&amp;",sort="&amp;$J$1&amp;",real=false,Bizday="&amp;$L$1&amp;",Quote="&amp;$N$1&amp;",Pos=20,Orient=V,Title=한국:비은행 대출금리:신규취급액:상호저축은행:할인어음,DtFmt=1,TmFmt=1,unit=true")</f>
        <v>한국:비은행 대출금리:신규취급액:상호저축은행:할인어음</v>
      </c>
      <c r="M2" t="str">
        <f ca="1">_xll.IMDH("ECO","809440",M3:M3,$B$1,$D$1,$F$1,"Per="&amp;$H$1&amp;",sort="&amp;$J$1&amp;",real=false,Bizday="&amp;$L$1&amp;",Quote="&amp;$N$1&amp;",Pos=20,Orient=V,Title=한국:비은행 대출금리:신규취급액:상호저축은행:일반대출,DtFmt=1,TmFmt=1,unit=true")</f>
        <v>한국:비은행 대출금리:신규취급액:상호저축은행:일반대출</v>
      </c>
      <c r="N2" t="str">
        <f ca="1">_xll.IMDH("ECO","809441",N3:N3,$B$1,$D$1,$F$1,"Per="&amp;$H$1&amp;",sort="&amp;$J$1&amp;",real=false,Bizday="&amp;$L$1&amp;",Quote="&amp;$N$1&amp;",Pos=20,Orient=V,Title=한국:비은행 대출금리:신규취급액:상호저축은행:일반대출:기업자금대출,DtFmt=1,TmFmt=1,unit=true")</f>
        <v>한국:비은행 대출금리:신규취급액:상호저축은행:일반대출:기업자금대출</v>
      </c>
      <c r="O2" t="str">
        <f ca="1">_xll.IMDH("ECO","809442",O3:O3,$B$1,$D$1,$F$1,"Per="&amp;$H$1&amp;",sort="&amp;$J$1&amp;",real=false,Bizday="&amp;$L$1&amp;",Quote="&amp;$N$1&amp;",Pos=20,Orient=V,Title=한국:비은행 대출금리:신규취급액:상호저축은행:일반대출:가계자금대출,DtFmt=1,TmFmt=1,unit=true")</f>
        <v>한국:비은행 대출금리:신규취급액:상호저축은행:일반대출:가계자금대출</v>
      </c>
      <c r="P2" t="str">
        <f ca="1">_xll.IMDH("ECO","809443",P3:P3,$B$1,$D$1,$F$1,"Per="&amp;$H$1&amp;",sort="&amp;$J$1&amp;",real=false,Bizday="&amp;$L$1&amp;",Quote="&amp;$N$1&amp;",Pos=20,Orient=V,Title=한국:비은행 대출금리:신규취급액:상호저축은행:일반대출:가계자금대출:주택담보대출,DtFmt=1,TmFmt=1,unit=true")</f>
        <v>한국:비은행 대출금리:신규취급액:상호저축은행:일반대출:가계자금대출:주택담보대출</v>
      </c>
      <c r="Q2" t="str">
        <f ca="1">_xll.IMDH("ECO","809444",Q3:Q3,$B$1,$D$1,$F$1,"Per="&amp;$H$1&amp;",sort="&amp;$J$1&amp;",real=false,Bizday="&amp;$L$1&amp;",Quote="&amp;$N$1&amp;",Pos=20,Orient=V,Title=한국:비은행 대출금리:신규취급액:상호저축은행:일반대출:가계자금대출:기타담보대출,DtFmt=1,TmFmt=1,unit=true")</f>
        <v>한국:비은행 대출금리:신규취급액:상호저축은행:일반대출:가계자금대출:기타담보대출</v>
      </c>
      <c r="R2" t="str">
        <f ca="1">_xll.IMDH("ECO","809445",R3:R3,$B$1,$D$1,$F$1,"Per="&amp;$H$1&amp;",sort="&amp;$J$1&amp;",real=false,Bizday="&amp;$L$1&amp;",Quote="&amp;$N$1&amp;",Pos=20,Orient=V,Title=한국:비은행 대출금리:신규취급액:상호저축은행:일반대출:가계자금대출:보증대출,DtFmt=1,TmFmt=1,unit=true")</f>
        <v>한국:비은행 대출금리:신규취급액:상호저축은행:일반대출:가계자금대출:보증대출</v>
      </c>
      <c r="S2" t="str">
        <f ca="1">_xll.IMDH("ECO","809446",S3:S3,$B$1,$D$1,$F$1,"Per="&amp;$H$1&amp;",sort="&amp;$J$1&amp;",real=false,Bizday="&amp;$L$1&amp;",Quote="&amp;$N$1&amp;",Pos=20,Orient=V,Title=한국:비은행 대출금리:신규취급액:상호저축은행:일반대출:가계자금대출:일반신용대출,DtFmt=1,TmFmt=1,unit=true")</f>
        <v>한국:비은행 대출금리:신규취급액:상호저축은행:일반대출:가계자금대출:일반신용대출</v>
      </c>
      <c r="T2" t="str">
        <f ca="1">_xll.IMDH("ECO","809447",T3:T3,$B$1,$D$1,$F$1,"Per="&amp;$H$1&amp;",sort="&amp;$J$1&amp;",real=false,Bizday="&amp;$L$1&amp;",Quote="&amp;$N$1&amp;",Pos=20,Orient=V,Title=한국:비은행 대출금리:신규취급액:상호저축은행:일반대출:가계자금대출:일반신용대출:소액신용대출,DtFmt=1,TmFmt=1,unit=true")</f>
        <v>한국:비은행 대출금리:신규취급액:상호저축은행:일반대출:가계자금대출:일반신용대출:소액신용대출</v>
      </c>
      <c r="U2" t="str">
        <f ca="1">_xll.IMDH("ECO","809448",U3:U3,$B$1,$D$1,$F$1,"Per="&amp;$H$1&amp;",sort="&amp;$J$1&amp;",real=false,Bizday="&amp;$L$1&amp;",Quote="&amp;$N$1&amp;",Pos=20,Orient=V,Title=한국:비은행 대출금리:신규취급액:상호저축은행:일반대출:공공및기타부문대출,DtFmt=1,TmFmt=1,unit=true")</f>
        <v>한국:비은행 대출금리:신규취급액:상호저축은행:일반대출:공공및기타부문대출</v>
      </c>
    </row>
    <row r="3" spans="1:21" x14ac:dyDescent="0.3">
      <c r="A3" s="3" t="s">
        <v>9</v>
      </c>
      <c r="B3" s="4" t="s">
        <v>10</v>
      </c>
      <c r="C3" s="5" t="s">
        <v>10</v>
      </c>
      <c r="D3" s="6" t="s">
        <v>10</v>
      </c>
      <c r="E3" s="7" t="s">
        <v>10</v>
      </c>
      <c r="F3" s="8" t="s">
        <v>10</v>
      </c>
      <c r="G3" s="9" t="s">
        <v>10</v>
      </c>
      <c r="H3" s="10" t="s">
        <v>10</v>
      </c>
      <c r="I3" s="11" t="s">
        <v>10</v>
      </c>
      <c r="J3" s="12" t="s">
        <v>10</v>
      </c>
      <c r="K3" s="13" t="s">
        <v>10</v>
      </c>
      <c r="L3" s="14" t="s">
        <v>10</v>
      </c>
      <c r="M3" s="4" t="s">
        <v>10</v>
      </c>
      <c r="N3" s="5" t="s">
        <v>10</v>
      </c>
      <c r="O3" s="6" t="s">
        <v>10</v>
      </c>
      <c r="P3" s="7" t="s">
        <v>10</v>
      </c>
      <c r="Q3" s="8" t="s">
        <v>10</v>
      </c>
      <c r="R3" s="9" t="s">
        <v>10</v>
      </c>
      <c r="S3" s="10" t="s">
        <v>10</v>
      </c>
      <c r="T3" s="11" t="s">
        <v>10</v>
      </c>
      <c r="U3" s="12" t="s">
        <v>10</v>
      </c>
    </row>
    <row r="4" spans="1:21" x14ac:dyDescent="0.3">
      <c r="A4" s="2">
        <v>43312</v>
      </c>
      <c r="B4">
        <v>1.5</v>
      </c>
      <c r="C4">
        <v>-19</v>
      </c>
      <c r="D4">
        <v>0</v>
      </c>
      <c r="E4">
        <v>9</v>
      </c>
      <c r="F4">
        <v>21979.7</v>
      </c>
      <c r="G4">
        <v>22302.400000000001</v>
      </c>
      <c r="H4">
        <v>55997.7</v>
      </c>
    </row>
    <row r="5" spans="1:21" x14ac:dyDescent="0.3">
      <c r="A5" s="2">
        <v>43343</v>
      </c>
      <c r="B5">
        <v>1.5</v>
      </c>
      <c r="C5">
        <v>-19</v>
      </c>
      <c r="D5">
        <v>0</v>
      </c>
      <c r="E5">
        <v>9</v>
      </c>
      <c r="F5">
        <v>21979.7</v>
      </c>
      <c r="G5">
        <v>22588.9</v>
      </c>
      <c r="H5">
        <v>56724.1</v>
      </c>
    </row>
    <row r="6" spans="1:21" x14ac:dyDescent="0.3">
      <c r="A6" s="2">
        <v>43373</v>
      </c>
      <c r="B6">
        <v>1.5</v>
      </c>
      <c r="C6">
        <v>-14</v>
      </c>
      <c r="D6">
        <v>13</v>
      </c>
      <c r="E6">
        <v>-2</v>
      </c>
      <c r="F6">
        <v>22610.5</v>
      </c>
      <c r="G6">
        <v>22610.5</v>
      </c>
      <c r="H6">
        <v>57288.2</v>
      </c>
    </row>
    <row r="7" spans="1:21" x14ac:dyDescent="0.3">
      <c r="A7" s="2">
        <v>43404</v>
      </c>
      <c r="B7">
        <v>1.5</v>
      </c>
      <c r="C7">
        <v>-14</v>
      </c>
      <c r="D7">
        <v>13</v>
      </c>
      <c r="E7">
        <v>-2</v>
      </c>
      <c r="F7">
        <v>22610.5</v>
      </c>
      <c r="G7">
        <v>22945.8</v>
      </c>
      <c r="H7">
        <v>57806.6</v>
      </c>
    </row>
    <row r="8" spans="1:21" x14ac:dyDescent="0.3">
      <c r="A8" s="2">
        <v>43434</v>
      </c>
      <c r="B8">
        <v>1.75</v>
      </c>
      <c r="C8">
        <v>-14</v>
      </c>
      <c r="D8">
        <v>13</v>
      </c>
      <c r="E8">
        <v>-2</v>
      </c>
      <c r="F8">
        <v>22610.5</v>
      </c>
      <c r="G8">
        <v>23282.7</v>
      </c>
      <c r="H8">
        <v>58597.599999999999</v>
      </c>
    </row>
    <row r="9" spans="1:21" x14ac:dyDescent="0.3">
      <c r="A9" s="2">
        <v>43465</v>
      </c>
      <c r="B9">
        <v>1.75</v>
      </c>
      <c r="C9">
        <v>-23</v>
      </c>
      <c r="D9">
        <v>20</v>
      </c>
      <c r="E9">
        <v>-5</v>
      </c>
      <c r="F9">
        <v>23467.4</v>
      </c>
      <c r="G9">
        <v>23467.4</v>
      </c>
      <c r="H9">
        <v>59157.2</v>
      </c>
    </row>
    <row r="10" spans="1:21" x14ac:dyDescent="0.3">
      <c r="A10" s="2">
        <v>43496</v>
      </c>
      <c r="B10">
        <v>1.75</v>
      </c>
      <c r="C10">
        <v>-23</v>
      </c>
      <c r="D10">
        <v>20</v>
      </c>
      <c r="E10">
        <v>-5</v>
      </c>
      <c r="F10">
        <v>23467.4</v>
      </c>
      <c r="G10">
        <v>23788.400000000001</v>
      </c>
      <c r="H10">
        <v>59245.8</v>
      </c>
    </row>
    <row r="11" spans="1:21" x14ac:dyDescent="0.3">
      <c r="A11" s="2">
        <v>43524</v>
      </c>
      <c r="B11">
        <v>1.75</v>
      </c>
      <c r="C11">
        <v>-23</v>
      </c>
      <c r="D11">
        <v>20</v>
      </c>
      <c r="E11">
        <v>-5</v>
      </c>
      <c r="F11">
        <v>23467.4</v>
      </c>
      <c r="G11">
        <v>24060.3</v>
      </c>
      <c r="H11">
        <v>59684.6</v>
      </c>
    </row>
    <row r="12" spans="1:21" x14ac:dyDescent="0.3">
      <c r="A12" s="2">
        <v>43555</v>
      </c>
      <c r="B12">
        <v>1.75</v>
      </c>
      <c r="C12">
        <v>-9</v>
      </c>
      <c r="D12">
        <v>14</v>
      </c>
      <c r="E12">
        <v>-9</v>
      </c>
      <c r="F12">
        <v>23790.1</v>
      </c>
      <c r="G12">
        <v>23790.1</v>
      </c>
      <c r="H12">
        <v>59548</v>
      </c>
    </row>
    <row r="13" spans="1:21" x14ac:dyDescent="0.3">
      <c r="A13" s="2">
        <v>43585</v>
      </c>
      <c r="B13">
        <v>1.75</v>
      </c>
      <c r="C13">
        <v>-9</v>
      </c>
      <c r="D13">
        <v>14</v>
      </c>
      <c r="E13">
        <v>-9</v>
      </c>
      <c r="F13">
        <v>23790.1</v>
      </c>
      <c r="G13">
        <v>24229.3</v>
      </c>
      <c r="H13">
        <v>60120.4</v>
      </c>
    </row>
    <row r="14" spans="1:21" x14ac:dyDescent="0.3">
      <c r="A14" s="2">
        <v>43616</v>
      </c>
      <c r="B14">
        <v>1.75</v>
      </c>
      <c r="C14">
        <v>-9</v>
      </c>
      <c r="D14">
        <v>14</v>
      </c>
      <c r="E14">
        <v>-9</v>
      </c>
      <c r="F14">
        <v>23790.1</v>
      </c>
      <c r="G14">
        <v>24551.1</v>
      </c>
      <c r="H14">
        <v>60609.3</v>
      </c>
    </row>
    <row r="15" spans="1:21" x14ac:dyDescent="0.3">
      <c r="A15" s="2">
        <v>43646</v>
      </c>
      <c r="B15">
        <v>1.75</v>
      </c>
      <c r="C15">
        <v>-6</v>
      </c>
      <c r="D15">
        <v>18</v>
      </c>
      <c r="E15">
        <v>-1</v>
      </c>
      <c r="F15">
        <v>24575</v>
      </c>
      <c r="G15">
        <v>24575</v>
      </c>
      <c r="H15">
        <v>60838.400000000001</v>
      </c>
    </row>
    <row r="16" spans="1:21" x14ac:dyDescent="0.3">
      <c r="A16" s="2">
        <v>43677</v>
      </c>
      <c r="B16">
        <v>1.5</v>
      </c>
      <c r="C16">
        <v>-6</v>
      </c>
      <c r="D16">
        <v>18</v>
      </c>
      <c r="E16">
        <v>-1</v>
      </c>
      <c r="F16">
        <v>24575</v>
      </c>
      <c r="G16">
        <v>25052.5</v>
      </c>
      <c r="H16">
        <v>61489.4</v>
      </c>
    </row>
    <row r="17" spans="1:8" x14ac:dyDescent="0.3">
      <c r="A17" s="2">
        <v>43708</v>
      </c>
      <c r="B17">
        <v>1.5</v>
      </c>
      <c r="C17">
        <v>-6</v>
      </c>
      <c r="D17">
        <v>18</v>
      </c>
      <c r="E17">
        <v>-1</v>
      </c>
      <c r="F17">
        <v>24575</v>
      </c>
      <c r="G17">
        <v>25342.7</v>
      </c>
      <c r="H17">
        <v>62083.199999999997</v>
      </c>
    </row>
    <row r="18" spans="1:8" x14ac:dyDescent="0.3">
      <c r="A18" s="2">
        <v>43738</v>
      </c>
      <c r="B18">
        <v>1.5</v>
      </c>
      <c r="C18">
        <v>-2</v>
      </c>
      <c r="D18">
        <v>8</v>
      </c>
      <c r="E18">
        <v>-11</v>
      </c>
      <c r="F18">
        <v>25288.3</v>
      </c>
      <c r="G18">
        <v>25288.3</v>
      </c>
      <c r="H18">
        <v>62539.4</v>
      </c>
    </row>
    <row r="19" spans="1:8" x14ac:dyDescent="0.3">
      <c r="A19" s="2">
        <v>43769</v>
      </c>
      <c r="B19">
        <v>1.25</v>
      </c>
      <c r="C19">
        <v>-2</v>
      </c>
      <c r="D19">
        <v>8</v>
      </c>
      <c r="E19">
        <v>-11</v>
      </c>
      <c r="F19">
        <v>25288.3</v>
      </c>
      <c r="G19">
        <v>25782</v>
      </c>
      <c r="H19">
        <v>63507.199999999997</v>
      </c>
    </row>
    <row r="20" spans="1:8" x14ac:dyDescent="0.3">
      <c r="A20" s="2">
        <v>43799</v>
      </c>
      <c r="B20">
        <v>1.25</v>
      </c>
      <c r="C20">
        <v>-2</v>
      </c>
      <c r="D20">
        <v>8</v>
      </c>
      <c r="E20">
        <v>-11</v>
      </c>
      <c r="F20">
        <v>25288.3</v>
      </c>
      <c r="G20">
        <v>26012.9</v>
      </c>
      <c r="H20">
        <v>64409.599999999999</v>
      </c>
    </row>
    <row r="21" spans="1:8" x14ac:dyDescent="0.3">
      <c r="A21" s="2">
        <v>43830</v>
      </c>
      <c r="B21">
        <v>1.25</v>
      </c>
      <c r="C21">
        <v>-9</v>
      </c>
      <c r="D21">
        <v>7</v>
      </c>
      <c r="E21">
        <v>-4</v>
      </c>
      <c r="F21">
        <v>26045.5</v>
      </c>
      <c r="G21">
        <v>26045.5</v>
      </c>
      <c r="H21">
        <v>65050.400000000001</v>
      </c>
    </row>
    <row r="22" spans="1:8" x14ac:dyDescent="0.3">
      <c r="A22" s="2">
        <v>43861</v>
      </c>
      <c r="B22">
        <v>1.25</v>
      </c>
      <c r="C22">
        <v>-9</v>
      </c>
      <c r="D22">
        <v>7</v>
      </c>
      <c r="E22">
        <v>-4</v>
      </c>
      <c r="F22">
        <v>26045.5</v>
      </c>
      <c r="G22">
        <v>26383.5</v>
      </c>
      <c r="H22">
        <v>65563.5</v>
      </c>
    </row>
    <row r="23" spans="1:8" x14ac:dyDescent="0.3">
      <c r="A23" s="2">
        <v>43890</v>
      </c>
      <c r="B23">
        <v>1.25</v>
      </c>
      <c r="C23">
        <v>-9</v>
      </c>
      <c r="D23">
        <v>7</v>
      </c>
      <c r="E23">
        <v>-4</v>
      </c>
      <c r="F23">
        <v>26045.5</v>
      </c>
      <c r="G23">
        <v>26675.599999999999</v>
      </c>
      <c r="H23">
        <v>66371.7</v>
      </c>
    </row>
    <row r="24" spans="1:8" x14ac:dyDescent="0.3">
      <c r="A24" s="2">
        <v>43921</v>
      </c>
      <c r="B24">
        <v>0.75</v>
      </c>
      <c r="C24">
        <v>-4</v>
      </c>
      <c r="D24">
        <v>19</v>
      </c>
      <c r="E24">
        <v>-6</v>
      </c>
      <c r="F24">
        <v>26834.799999999999</v>
      </c>
      <c r="G24">
        <v>26834.799999999999</v>
      </c>
      <c r="H24">
        <v>67065.8</v>
      </c>
    </row>
    <row r="25" spans="1:8" x14ac:dyDescent="0.3">
      <c r="A25" s="2">
        <v>43951</v>
      </c>
      <c r="B25">
        <v>0.75</v>
      </c>
      <c r="C25">
        <v>-4</v>
      </c>
      <c r="D25">
        <v>19</v>
      </c>
      <c r="E25">
        <v>-6</v>
      </c>
      <c r="F25">
        <v>26834.799999999999</v>
      </c>
      <c r="G25">
        <v>27320.6</v>
      </c>
      <c r="H25">
        <v>68279.199999999997</v>
      </c>
    </row>
    <row r="26" spans="1:8" x14ac:dyDescent="0.3">
      <c r="A26" s="2">
        <v>43982</v>
      </c>
      <c r="B26">
        <v>0.5</v>
      </c>
      <c r="C26">
        <v>-4</v>
      </c>
      <c r="D26">
        <v>19</v>
      </c>
      <c r="E26">
        <v>-6</v>
      </c>
      <c r="F26">
        <v>26834.799999999999</v>
      </c>
      <c r="G26">
        <v>27619.9</v>
      </c>
      <c r="H26">
        <v>69024.7</v>
      </c>
    </row>
    <row r="27" spans="1:8" x14ac:dyDescent="0.3">
      <c r="A27" s="2">
        <v>44012</v>
      </c>
      <c r="B27">
        <v>0.5</v>
      </c>
      <c r="C27">
        <v>-20</v>
      </c>
      <c r="D27">
        <v>28</v>
      </c>
      <c r="E27">
        <v>24</v>
      </c>
      <c r="F27">
        <v>27764.6</v>
      </c>
      <c r="G27">
        <v>27764.6</v>
      </c>
      <c r="H27">
        <v>69347.5</v>
      </c>
    </row>
    <row r="28" spans="1:8" x14ac:dyDescent="0.3">
      <c r="A28" s="2">
        <v>44043</v>
      </c>
      <c r="B28">
        <v>0.5</v>
      </c>
      <c r="C28">
        <v>-20</v>
      </c>
      <c r="D28">
        <v>28</v>
      </c>
      <c r="E28">
        <v>24</v>
      </c>
      <c r="F28">
        <v>27764.6</v>
      </c>
      <c r="G28">
        <v>28482.3</v>
      </c>
      <c r="H28">
        <v>70611.7</v>
      </c>
    </row>
    <row r="29" spans="1:8" x14ac:dyDescent="0.3">
      <c r="A29" s="2">
        <v>44074</v>
      </c>
      <c r="B29">
        <v>0.5</v>
      </c>
      <c r="C29">
        <v>-20</v>
      </c>
      <c r="D29">
        <v>28</v>
      </c>
      <c r="E29">
        <v>24</v>
      </c>
      <c r="F29">
        <v>27764.6</v>
      </c>
      <c r="G29">
        <v>29035</v>
      </c>
      <c r="H29">
        <v>71696.2</v>
      </c>
    </row>
    <row r="30" spans="1:8" x14ac:dyDescent="0.3">
      <c r="A30" s="2">
        <v>44104</v>
      </c>
      <c r="B30">
        <v>0.5</v>
      </c>
      <c r="C30">
        <v>-15</v>
      </c>
      <c r="D30">
        <v>25</v>
      </c>
      <c r="E30">
        <v>17</v>
      </c>
      <c r="F30">
        <v>29591.3</v>
      </c>
      <c r="G30">
        <v>29591.3</v>
      </c>
      <c r="H30">
        <v>73231.8</v>
      </c>
    </row>
    <row r="31" spans="1:8" x14ac:dyDescent="0.3">
      <c r="A31" s="2">
        <v>44135</v>
      </c>
      <c r="B31">
        <v>0.5</v>
      </c>
      <c r="C31">
        <v>-15</v>
      </c>
      <c r="D31">
        <v>25</v>
      </c>
      <c r="E31">
        <v>17</v>
      </c>
      <c r="F31">
        <v>29591.3</v>
      </c>
      <c r="G31">
        <v>30266.2</v>
      </c>
      <c r="H31">
        <v>74395.5</v>
      </c>
    </row>
    <row r="32" spans="1:8" x14ac:dyDescent="0.3">
      <c r="A32" s="2">
        <v>44165</v>
      </c>
      <c r="B32">
        <v>0.5</v>
      </c>
      <c r="C32">
        <v>-15</v>
      </c>
      <c r="D32">
        <v>25</v>
      </c>
      <c r="E32">
        <v>17</v>
      </c>
      <c r="F32">
        <v>29591.3</v>
      </c>
      <c r="G32">
        <v>31158.2</v>
      </c>
      <c r="H32">
        <v>76328.600000000006</v>
      </c>
    </row>
    <row r="33" spans="1:8" x14ac:dyDescent="0.3">
      <c r="A33" s="2">
        <v>44196</v>
      </c>
      <c r="B33">
        <v>0.5</v>
      </c>
      <c r="C33">
        <v>-8</v>
      </c>
      <c r="D33">
        <v>11</v>
      </c>
      <c r="E33">
        <v>21</v>
      </c>
      <c r="F33">
        <v>31580.400000000001</v>
      </c>
      <c r="G33">
        <v>31580.400000000001</v>
      </c>
      <c r="H33">
        <v>77667.5</v>
      </c>
    </row>
    <row r="34" spans="1:8" x14ac:dyDescent="0.3">
      <c r="A34" s="2">
        <v>44227</v>
      </c>
      <c r="B34">
        <v>0.5</v>
      </c>
      <c r="C34">
        <v>-8</v>
      </c>
      <c r="D34">
        <v>11</v>
      </c>
      <c r="E34">
        <v>21</v>
      </c>
      <c r="F34">
        <v>31580.400000000001</v>
      </c>
      <c r="G34">
        <v>32338.799999999999</v>
      </c>
      <c r="H34">
        <v>79258.7</v>
      </c>
    </row>
    <row r="35" spans="1:8" x14ac:dyDescent="0.3">
      <c r="A35" s="2">
        <v>44255</v>
      </c>
      <c r="B35">
        <v>0.5</v>
      </c>
      <c r="C35">
        <v>-8</v>
      </c>
      <c r="D35">
        <v>11</v>
      </c>
      <c r="E35">
        <v>21</v>
      </c>
      <c r="F35">
        <v>31580.400000000001</v>
      </c>
      <c r="G35">
        <v>32794</v>
      </c>
      <c r="H35">
        <v>80541.2</v>
      </c>
    </row>
    <row r="36" spans="1:8" x14ac:dyDescent="0.3">
      <c r="A36" s="2">
        <v>44286</v>
      </c>
      <c r="B36">
        <v>0.5</v>
      </c>
      <c r="C36">
        <v>3</v>
      </c>
      <c r="D36">
        <v>10</v>
      </c>
      <c r="E36">
        <v>17</v>
      </c>
      <c r="F36">
        <v>33450.9</v>
      </c>
      <c r="G36">
        <v>33450.9</v>
      </c>
      <c r="H36">
        <v>81957.8</v>
      </c>
    </row>
    <row r="37" spans="1:8" x14ac:dyDescent="0.3">
      <c r="A37" s="2">
        <v>44316</v>
      </c>
      <c r="B37">
        <v>0.5</v>
      </c>
      <c r="C37">
        <v>3</v>
      </c>
      <c r="D37">
        <v>10</v>
      </c>
      <c r="E37">
        <v>17</v>
      </c>
      <c r="F37">
        <v>33450.9</v>
      </c>
      <c r="G37">
        <v>34594.300000000003</v>
      </c>
      <c r="H37">
        <v>83895.2</v>
      </c>
    </row>
    <row r="38" spans="1:8" x14ac:dyDescent="0.3">
      <c r="A38" s="2">
        <v>44347</v>
      </c>
      <c r="B38">
        <v>0.5</v>
      </c>
      <c r="C38">
        <v>3</v>
      </c>
      <c r="D38">
        <v>10</v>
      </c>
      <c r="E38">
        <v>17</v>
      </c>
      <c r="F38">
        <v>33450.9</v>
      </c>
      <c r="G38">
        <v>35090</v>
      </c>
      <c r="H38">
        <v>85111.4</v>
      </c>
    </row>
    <row r="39" spans="1:8" x14ac:dyDescent="0.3">
      <c r="A39" s="2">
        <v>44377</v>
      </c>
      <c r="B39">
        <v>0.5</v>
      </c>
      <c r="C39">
        <v>-9</v>
      </c>
      <c r="D39">
        <v>12</v>
      </c>
      <c r="E39">
        <v>5</v>
      </c>
      <c r="F39">
        <v>35998.400000000001</v>
      </c>
      <c r="G39">
        <v>35998.400000000001</v>
      </c>
      <c r="H39">
        <v>88134.9</v>
      </c>
    </row>
    <row r="40" spans="1:8" x14ac:dyDescent="0.3">
      <c r="A40" s="2">
        <v>44408</v>
      </c>
      <c r="B40">
        <v>0.5</v>
      </c>
      <c r="C40">
        <v>-9</v>
      </c>
      <c r="D40">
        <v>12</v>
      </c>
      <c r="E40">
        <v>5</v>
      </c>
      <c r="F40">
        <v>35998.400000000001</v>
      </c>
      <c r="G40">
        <v>36872.300000000003</v>
      </c>
      <c r="H40">
        <v>90248.2</v>
      </c>
    </row>
    <row r="41" spans="1:8" x14ac:dyDescent="0.3">
      <c r="A41" s="2">
        <v>44439</v>
      </c>
      <c r="B41">
        <v>0.75</v>
      </c>
      <c r="C41">
        <v>-9</v>
      </c>
      <c r="D41">
        <v>12</v>
      </c>
      <c r="E41">
        <v>5</v>
      </c>
      <c r="F41">
        <v>35998.400000000001</v>
      </c>
      <c r="G41">
        <v>37356.199999999997</v>
      </c>
      <c r="H41">
        <v>91703.2</v>
      </c>
    </row>
    <row r="42" spans="1:8" x14ac:dyDescent="0.3">
      <c r="A42" s="2">
        <v>44469</v>
      </c>
      <c r="B42">
        <v>0.75</v>
      </c>
      <c r="C42">
        <v>-18</v>
      </c>
      <c r="D42">
        <v>13</v>
      </c>
      <c r="E42">
        <v>11</v>
      </c>
      <c r="F42">
        <v>37472.800000000003</v>
      </c>
      <c r="G42">
        <v>37472.800000000003</v>
      </c>
      <c r="H42">
        <v>93366.9</v>
      </c>
    </row>
    <row r="43" spans="1:8" x14ac:dyDescent="0.3">
      <c r="A43" s="2">
        <v>44500</v>
      </c>
      <c r="B43">
        <v>0.75</v>
      </c>
      <c r="C43">
        <v>-18</v>
      </c>
      <c r="D43">
        <v>13</v>
      </c>
      <c r="E43">
        <v>11</v>
      </c>
      <c r="F43">
        <v>37472.800000000003</v>
      </c>
      <c r="G43">
        <v>37635.599999999999</v>
      </c>
      <c r="H43">
        <v>95578.3</v>
      </c>
    </row>
    <row r="44" spans="1:8" x14ac:dyDescent="0.3">
      <c r="A44" s="2">
        <v>44530</v>
      </c>
      <c r="B44">
        <v>1</v>
      </c>
      <c r="C44">
        <v>-18</v>
      </c>
      <c r="D44">
        <v>13</v>
      </c>
      <c r="E44">
        <v>11</v>
      </c>
      <c r="F44">
        <v>37472.800000000003</v>
      </c>
      <c r="G44">
        <v>37838.300000000003</v>
      </c>
      <c r="H44">
        <v>98132.4</v>
      </c>
    </row>
    <row r="45" spans="1:8" x14ac:dyDescent="0.3">
      <c r="A45" s="2">
        <v>44561</v>
      </c>
      <c r="B45">
        <v>1</v>
      </c>
      <c r="C45">
        <v>-22</v>
      </c>
      <c r="D45">
        <v>19</v>
      </c>
      <c r="E45">
        <v>7</v>
      </c>
      <c r="F45">
        <v>37852.400000000001</v>
      </c>
      <c r="G45">
        <v>37852.400000000001</v>
      </c>
      <c r="H45">
        <v>100588.3</v>
      </c>
    </row>
    <row r="46" spans="1:8" x14ac:dyDescent="0.3">
      <c r="A46" s="2">
        <v>44592</v>
      </c>
      <c r="B46">
        <v>1.25</v>
      </c>
      <c r="C46">
        <v>-22</v>
      </c>
      <c r="D46">
        <v>19</v>
      </c>
      <c r="E46">
        <v>7</v>
      </c>
      <c r="F46">
        <v>37852.400000000001</v>
      </c>
      <c r="G46">
        <v>37954.9</v>
      </c>
      <c r="H46">
        <v>103167</v>
      </c>
    </row>
    <row r="47" spans="1:8" x14ac:dyDescent="0.3">
      <c r="A47" s="2">
        <v>44620</v>
      </c>
      <c r="B47">
        <v>1.25</v>
      </c>
      <c r="C47">
        <v>-22</v>
      </c>
      <c r="D47">
        <v>19</v>
      </c>
      <c r="E47">
        <v>7</v>
      </c>
      <c r="F47">
        <v>37852.400000000001</v>
      </c>
      <c r="G47">
        <v>38203.599999999999</v>
      </c>
      <c r="H47">
        <v>106304.1</v>
      </c>
    </row>
    <row r="48" spans="1:8" x14ac:dyDescent="0.3">
      <c r="A48" s="2">
        <v>44651</v>
      </c>
      <c r="B48">
        <v>1.25</v>
      </c>
      <c r="C48">
        <v>-18</v>
      </c>
      <c r="D48">
        <v>16</v>
      </c>
      <c r="E48">
        <v>11</v>
      </c>
      <c r="F48">
        <v>38273.1</v>
      </c>
      <c r="G48">
        <v>38273.1</v>
      </c>
      <c r="H48">
        <v>108472.3</v>
      </c>
    </row>
    <row r="49" spans="1:21" x14ac:dyDescent="0.3">
      <c r="A49" s="2">
        <v>44681</v>
      </c>
      <c r="B49">
        <v>1.5</v>
      </c>
      <c r="C49">
        <v>-18</v>
      </c>
      <c r="D49">
        <v>16</v>
      </c>
      <c r="E49">
        <v>11</v>
      </c>
      <c r="F49">
        <v>38273.1</v>
      </c>
      <c r="G49">
        <v>38615.199999999997</v>
      </c>
      <c r="H49">
        <v>110439.2</v>
      </c>
    </row>
    <row r="50" spans="1:21" x14ac:dyDescent="0.3">
      <c r="A50" s="2">
        <v>44712</v>
      </c>
      <c r="B50">
        <v>1.75</v>
      </c>
      <c r="C50">
        <v>-18</v>
      </c>
      <c r="D50">
        <v>16</v>
      </c>
      <c r="E50">
        <v>11</v>
      </c>
      <c r="F50">
        <v>38273.1</v>
      </c>
      <c r="G50">
        <v>39208.400000000001</v>
      </c>
      <c r="H50">
        <v>113286.2</v>
      </c>
    </row>
    <row r="51" spans="1:21" x14ac:dyDescent="0.3">
      <c r="A51" s="2">
        <v>44742</v>
      </c>
      <c r="B51">
        <v>1.75</v>
      </c>
      <c r="C51">
        <v>-30</v>
      </c>
      <c r="D51">
        <v>27</v>
      </c>
      <c r="E51">
        <v>10</v>
      </c>
      <c r="F51">
        <v>39653.599999999999</v>
      </c>
      <c r="G51">
        <v>39653.599999999999</v>
      </c>
      <c r="H51">
        <v>114541.1</v>
      </c>
    </row>
    <row r="52" spans="1:21" x14ac:dyDescent="0.3">
      <c r="A52" s="2">
        <v>44773</v>
      </c>
      <c r="B52">
        <v>2.25</v>
      </c>
      <c r="C52">
        <v>-30</v>
      </c>
      <c r="D52">
        <v>27</v>
      </c>
      <c r="E52">
        <v>10</v>
      </c>
      <c r="F52">
        <v>39653.599999999999</v>
      </c>
      <c r="G52">
        <v>40039.5</v>
      </c>
      <c r="H52">
        <v>115654.1</v>
      </c>
    </row>
    <row r="53" spans="1:21" x14ac:dyDescent="0.3">
      <c r="A53" s="2">
        <v>44804</v>
      </c>
      <c r="B53">
        <v>2.5</v>
      </c>
      <c r="C53">
        <v>-30</v>
      </c>
      <c r="D53">
        <v>27</v>
      </c>
      <c r="E53">
        <v>10</v>
      </c>
      <c r="F53">
        <v>39653.599999999999</v>
      </c>
      <c r="G53">
        <v>40454.800000000003</v>
      </c>
      <c r="H53">
        <v>116164.7</v>
      </c>
    </row>
    <row r="54" spans="1:21" x14ac:dyDescent="0.3">
      <c r="A54" s="2">
        <v>44834</v>
      </c>
      <c r="B54">
        <v>2.5</v>
      </c>
      <c r="C54">
        <v>-39</v>
      </c>
      <c r="D54">
        <v>27</v>
      </c>
      <c r="E54">
        <v>0</v>
      </c>
      <c r="F54">
        <v>40629.9</v>
      </c>
      <c r="G54">
        <v>40629.9</v>
      </c>
      <c r="H54">
        <v>116276.9</v>
      </c>
      <c r="I54">
        <v>3.77</v>
      </c>
      <c r="L54">
        <v>7.36</v>
      </c>
      <c r="M54">
        <v>11.04</v>
      </c>
      <c r="N54">
        <v>8.01</v>
      </c>
      <c r="O54">
        <v>13.48</v>
      </c>
      <c r="P54">
        <v>5.74</v>
      </c>
      <c r="Q54">
        <v>10.97</v>
      </c>
      <c r="R54">
        <v>10.050000000000001</v>
      </c>
      <c r="S54">
        <v>14.74</v>
      </c>
      <c r="T54">
        <v>15.84</v>
      </c>
      <c r="U54">
        <v>6.71</v>
      </c>
    </row>
    <row r="55" spans="1:21" x14ac:dyDescent="0.3">
      <c r="A55" s="2">
        <v>44865</v>
      </c>
      <c r="B55">
        <v>3</v>
      </c>
      <c r="C55">
        <v>-39</v>
      </c>
      <c r="D55">
        <v>27</v>
      </c>
      <c r="E55">
        <v>0</v>
      </c>
      <c r="F55">
        <v>40629.9</v>
      </c>
      <c r="G55">
        <v>40814.6</v>
      </c>
      <c r="H55">
        <v>116418.7</v>
      </c>
      <c r="I55">
        <v>5.22</v>
      </c>
      <c r="L55">
        <v>7.79</v>
      </c>
      <c r="M55">
        <v>11.31</v>
      </c>
      <c r="N55">
        <v>8.09</v>
      </c>
      <c r="O55">
        <v>13.54</v>
      </c>
      <c r="P55">
        <v>6.2</v>
      </c>
      <c r="Q55">
        <v>10.45</v>
      </c>
      <c r="R55">
        <v>9.98</v>
      </c>
      <c r="S55">
        <v>15.23</v>
      </c>
      <c r="T55">
        <v>16.05</v>
      </c>
      <c r="U55">
        <v>7.09</v>
      </c>
    </row>
    <row r="56" spans="1:21" x14ac:dyDescent="0.3">
      <c r="A56" s="2">
        <v>44895</v>
      </c>
      <c r="B56">
        <v>3.25</v>
      </c>
      <c r="C56">
        <v>-39</v>
      </c>
      <c r="D56">
        <v>27</v>
      </c>
      <c r="E56">
        <v>0</v>
      </c>
      <c r="F56">
        <v>40629.9</v>
      </c>
      <c r="G56">
        <v>40714.300000000003</v>
      </c>
      <c r="H56">
        <v>116223.8</v>
      </c>
      <c r="I56">
        <v>5.82</v>
      </c>
      <c r="L56">
        <v>6.51</v>
      </c>
      <c r="M56">
        <v>11.96</v>
      </c>
      <c r="N56">
        <v>9.52</v>
      </c>
      <c r="O56">
        <v>13.84</v>
      </c>
      <c r="P56">
        <v>6.16</v>
      </c>
      <c r="Q56">
        <v>11.1</v>
      </c>
      <c r="R56">
        <v>10.78</v>
      </c>
      <c r="S56">
        <v>15.78</v>
      </c>
      <c r="T56">
        <v>16.86</v>
      </c>
      <c r="U56">
        <v>9.2200000000000006</v>
      </c>
    </row>
    <row r="57" spans="1:21" x14ac:dyDescent="0.3">
      <c r="A57" s="2">
        <v>44926</v>
      </c>
      <c r="B57">
        <v>3.25</v>
      </c>
      <c r="C57">
        <v>-57</v>
      </c>
      <c r="D57">
        <v>52</v>
      </c>
      <c r="E57">
        <v>7</v>
      </c>
      <c r="F57">
        <v>40204.6</v>
      </c>
      <c r="G57">
        <v>40204.6</v>
      </c>
      <c r="H57">
        <v>115028.3</v>
      </c>
      <c r="I57">
        <v>5.7</v>
      </c>
      <c r="L57">
        <v>9.8000000000000007</v>
      </c>
      <c r="M57">
        <v>13.07</v>
      </c>
      <c r="N57">
        <v>10.59</v>
      </c>
      <c r="O57">
        <v>14.75</v>
      </c>
      <c r="P57">
        <v>6.66</v>
      </c>
      <c r="Q57">
        <v>13.54</v>
      </c>
      <c r="R57">
        <v>10.89</v>
      </c>
      <c r="S57">
        <v>16.72</v>
      </c>
      <c r="T57">
        <v>17.77</v>
      </c>
      <c r="U57">
        <v>10.43</v>
      </c>
    </row>
    <row r="58" spans="1:21" x14ac:dyDescent="0.3">
      <c r="A58" s="2">
        <v>44957</v>
      </c>
      <c r="B58">
        <v>3.5</v>
      </c>
      <c r="C58">
        <v>-57</v>
      </c>
      <c r="D58">
        <v>52</v>
      </c>
      <c r="E58">
        <v>7</v>
      </c>
      <c r="F58">
        <v>40204.6</v>
      </c>
      <c r="G58">
        <v>40268.699999999997</v>
      </c>
      <c r="H58">
        <v>115600.3</v>
      </c>
      <c r="I58">
        <v>5.2</v>
      </c>
      <c r="L58">
        <v>9.16</v>
      </c>
      <c r="M58">
        <v>13.17</v>
      </c>
      <c r="N58">
        <v>10.18</v>
      </c>
      <c r="O58">
        <v>14.82</v>
      </c>
      <c r="P58">
        <v>7.13</v>
      </c>
      <c r="Q58">
        <v>13.26</v>
      </c>
      <c r="R58">
        <v>11.8</v>
      </c>
      <c r="S58">
        <v>16.649999999999999</v>
      </c>
      <c r="T58">
        <v>17.93</v>
      </c>
      <c r="U58">
        <v>9.52</v>
      </c>
    </row>
    <row r="59" spans="1:21" x14ac:dyDescent="0.3">
      <c r="A59" s="2">
        <v>44985</v>
      </c>
      <c r="B59">
        <v>3.5</v>
      </c>
      <c r="C59">
        <v>-57</v>
      </c>
      <c r="D59">
        <v>52</v>
      </c>
      <c r="E59">
        <v>7</v>
      </c>
      <c r="F59">
        <v>40204.6</v>
      </c>
      <c r="G59">
        <v>40284.9</v>
      </c>
      <c r="H59">
        <v>114940.8</v>
      </c>
      <c r="I59">
        <v>4.1399999999999997</v>
      </c>
      <c r="L59">
        <v>9.3699999999999992</v>
      </c>
      <c r="M59">
        <v>12.83</v>
      </c>
      <c r="N59">
        <v>9.91</v>
      </c>
      <c r="O59">
        <v>14.87</v>
      </c>
      <c r="P59">
        <v>7.99</v>
      </c>
      <c r="Q59">
        <v>11.6</v>
      </c>
      <c r="R59">
        <v>11.87</v>
      </c>
      <c r="S59">
        <v>16.96</v>
      </c>
      <c r="T59">
        <v>17.98</v>
      </c>
      <c r="U59">
        <v>9.26</v>
      </c>
    </row>
    <row r="60" spans="1:21" x14ac:dyDescent="0.3">
      <c r="A60" s="2">
        <v>45016</v>
      </c>
      <c r="B60">
        <v>3.5</v>
      </c>
      <c r="C60">
        <v>-35</v>
      </c>
      <c r="D60">
        <v>47</v>
      </c>
      <c r="E60">
        <v>3</v>
      </c>
      <c r="F60">
        <v>39924.400000000001</v>
      </c>
      <c r="G60">
        <v>39924.400000000001</v>
      </c>
      <c r="H60">
        <v>113173.9</v>
      </c>
      <c r="I60">
        <v>3.62</v>
      </c>
      <c r="L60">
        <v>9.16</v>
      </c>
      <c r="M60">
        <v>12.38</v>
      </c>
      <c r="N60">
        <v>9.7100000000000009</v>
      </c>
      <c r="O60">
        <v>14.36</v>
      </c>
      <c r="P60">
        <v>7.18</v>
      </c>
      <c r="Q60">
        <v>12.95</v>
      </c>
      <c r="R60">
        <v>11.76</v>
      </c>
      <c r="S60">
        <v>16.45</v>
      </c>
      <c r="T60">
        <v>17.57</v>
      </c>
      <c r="U60">
        <v>9</v>
      </c>
    </row>
    <row r="61" spans="1:21" x14ac:dyDescent="0.3">
      <c r="A61" s="2">
        <v>45046</v>
      </c>
      <c r="B61">
        <v>3.5</v>
      </c>
      <c r="C61">
        <v>-35</v>
      </c>
      <c r="D61">
        <v>47</v>
      </c>
      <c r="E61">
        <v>3</v>
      </c>
      <c r="F61">
        <v>39924.400000000001</v>
      </c>
      <c r="G61">
        <v>39979.599999999999</v>
      </c>
      <c r="H61">
        <v>112087.9</v>
      </c>
      <c r="I61">
        <v>3.8</v>
      </c>
      <c r="L61">
        <v>8.1300000000000008</v>
      </c>
      <c r="M61">
        <v>12.27</v>
      </c>
      <c r="N61">
        <v>9.2200000000000006</v>
      </c>
      <c r="O61">
        <v>14.4</v>
      </c>
      <c r="P61">
        <v>7.06</v>
      </c>
      <c r="Q61">
        <v>13.19</v>
      </c>
      <c r="R61">
        <v>11.15</v>
      </c>
      <c r="S61">
        <v>16.39</v>
      </c>
      <c r="T61">
        <v>17.36</v>
      </c>
      <c r="U61">
        <v>8.91</v>
      </c>
    </row>
    <row r="62" spans="1:21" x14ac:dyDescent="0.3">
      <c r="A62" s="2">
        <v>45077</v>
      </c>
      <c r="B62">
        <v>3.5</v>
      </c>
      <c r="C62">
        <v>-35</v>
      </c>
      <c r="D62">
        <v>47</v>
      </c>
      <c r="E62">
        <v>3</v>
      </c>
      <c r="F62">
        <v>39924.400000000001</v>
      </c>
      <c r="G62">
        <v>39949.599999999999</v>
      </c>
      <c r="H62">
        <v>110921.1</v>
      </c>
      <c r="I62">
        <v>4.04</v>
      </c>
      <c r="L62">
        <v>8.7899999999999991</v>
      </c>
      <c r="M62">
        <v>12.24</v>
      </c>
      <c r="N62">
        <v>8.69</v>
      </c>
      <c r="O62">
        <v>14.3</v>
      </c>
      <c r="P62">
        <v>7.39</v>
      </c>
      <c r="Q62">
        <v>11.23</v>
      </c>
      <c r="R62">
        <v>10.91</v>
      </c>
      <c r="S62">
        <v>16.38</v>
      </c>
      <c r="T62">
        <v>17.18</v>
      </c>
      <c r="U62">
        <v>8.4700000000000006</v>
      </c>
    </row>
    <row r="63" spans="1:21" x14ac:dyDescent="0.3">
      <c r="A63" s="2">
        <v>45107</v>
      </c>
      <c r="B63">
        <v>3.5</v>
      </c>
      <c r="C63">
        <v>-31</v>
      </c>
      <c r="D63">
        <v>50</v>
      </c>
      <c r="E63">
        <v>-3</v>
      </c>
      <c r="F63">
        <v>39875.4</v>
      </c>
      <c r="G63">
        <v>39875.4</v>
      </c>
      <c r="H63">
        <v>109397.1</v>
      </c>
      <c r="I63">
        <v>4.08</v>
      </c>
      <c r="L63">
        <v>8.8800000000000008</v>
      </c>
      <c r="M63">
        <v>11.91</v>
      </c>
      <c r="N63">
        <v>8.56</v>
      </c>
      <c r="O63">
        <v>14.42</v>
      </c>
      <c r="P63">
        <v>6.9</v>
      </c>
      <c r="Q63">
        <v>12.76</v>
      </c>
      <c r="R63">
        <v>11.37</v>
      </c>
      <c r="S63">
        <v>16.260000000000002</v>
      </c>
      <c r="T63">
        <v>15.37</v>
      </c>
      <c r="U63">
        <v>8.17</v>
      </c>
    </row>
    <row r="64" spans="1:21" x14ac:dyDescent="0.3">
      <c r="A64" s="2">
        <v>45138</v>
      </c>
      <c r="B64">
        <v>3.5</v>
      </c>
      <c r="C64">
        <v>-31</v>
      </c>
      <c r="D64">
        <v>50</v>
      </c>
      <c r="E64">
        <v>-3</v>
      </c>
      <c r="F64">
        <v>39875.4</v>
      </c>
      <c r="G64">
        <v>39951.4</v>
      </c>
      <c r="H64">
        <v>108984.8</v>
      </c>
      <c r="I64">
        <v>4.13</v>
      </c>
      <c r="L64">
        <v>9.92</v>
      </c>
      <c r="M64">
        <v>12.55</v>
      </c>
      <c r="N64">
        <v>9.06</v>
      </c>
      <c r="O64">
        <v>14.48</v>
      </c>
      <c r="P64">
        <v>6.7</v>
      </c>
      <c r="Q64">
        <v>12.64</v>
      </c>
      <c r="R64">
        <v>11.3</v>
      </c>
      <c r="S64">
        <v>16.38</v>
      </c>
      <c r="T64">
        <v>17.68</v>
      </c>
      <c r="U64">
        <v>8.1</v>
      </c>
    </row>
    <row r="65" spans="1:21" x14ac:dyDescent="0.3">
      <c r="A65" s="2">
        <v>45169</v>
      </c>
      <c r="B65">
        <v>3.5</v>
      </c>
      <c r="C65">
        <v>-31</v>
      </c>
      <c r="D65">
        <v>50</v>
      </c>
      <c r="E65">
        <v>-3</v>
      </c>
      <c r="F65">
        <v>39875.4</v>
      </c>
      <c r="G65">
        <v>39893.800000000003</v>
      </c>
      <c r="H65">
        <v>108864.7</v>
      </c>
      <c r="I65">
        <v>4.21</v>
      </c>
      <c r="L65">
        <v>8.08</v>
      </c>
      <c r="M65">
        <v>12.34</v>
      </c>
      <c r="N65">
        <v>8.7200000000000006</v>
      </c>
      <c r="O65">
        <v>14.93</v>
      </c>
      <c r="P65">
        <v>7.05</v>
      </c>
      <c r="Q65">
        <v>12.88</v>
      </c>
      <c r="R65">
        <v>11.62</v>
      </c>
      <c r="S65">
        <v>16.649999999999999</v>
      </c>
      <c r="T65">
        <v>17.82</v>
      </c>
      <c r="U65">
        <v>7.57</v>
      </c>
    </row>
    <row r="66" spans="1:21" x14ac:dyDescent="0.3">
      <c r="A66" s="2">
        <v>45199</v>
      </c>
      <c r="B66">
        <v>3.5</v>
      </c>
      <c r="C66">
        <v>-28</v>
      </c>
      <c r="D66">
        <v>47</v>
      </c>
      <c r="E66">
        <v>-1</v>
      </c>
      <c r="F66">
        <v>39823</v>
      </c>
      <c r="G66">
        <v>39823</v>
      </c>
      <c r="H66">
        <v>108174.1</v>
      </c>
      <c r="I66">
        <v>4.2699999999999996</v>
      </c>
      <c r="L66">
        <v>10.08</v>
      </c>
      <c r="M66">
        <v>11.76</v>
      </c>
      <c r="N66">
        <v>8.65</v>
      </c>
      <c r="O66">
        <v>14.63</v>
      </c>
      <c r="P66">
        <v>6.88</v>
      </c>
      <c r="Q66">
        <v>12.88</v>
      </c>
      <c r="R66">
        <v>11.68</v>
      </c>
      <c r="S66">
        <v>16.61</v>
      </c>
      <c r="T66">
        <v>17.91</v>
      </c>
      <c r="U66">
        <v>7.86</v>
      </c>
    </row>
    <row r="67" spans="1:21" x14ac:dyDescent="0.3">
      <c r="A67" s="2">
        <v>45230</v>
      </c>
      <c r="B67">
        <v>3.5</v>
      </c>
      <c r="C67">
        <v>-28</v>
      </c>
      <c r="D67">
        <v>47</v>
      </c>
      <c r="E67">
        <v>-1</v>
      </c>
      <c r="F67">
        <v>39823</v>
      </c>
      <c r="G67">
        <v>39896.1</v>
      </c>
      <c r="H67">
        <v>107038.1</v>
      </c>
      <c r="I67">
        <v>4.3099999999999996</v>
      </c>
      <c r="L67">
        <v>7.67</v>
      </c>
      <c r="M67">
        <v>12.56</v>
      </c>
      <c r="N67">
        <v>8.61</v>
      </c>
      <c r="O67">
        <v>14.54</v>
      </c>
      <c r="P67">
        <v>6.76</v>
      </c>
      <c r="Q67">
        <v>12.16</v>
      </c>
      <c r="R67">
        <v>11.76</v>
      </c>
      <c r="S67">
        <v>16.579999999999998</v>
      </c>
      <c r="T67">
        <v>17.829999999999998</v>
      </c>
      <c r="U67">
        <v>7.85</v>
      </c>
    </row>
    <row r="68" spans="1:21" x14ac:dyDescent="0.3">
      <c r="A68" s="2">
        <v>45260</v>
      </c>
      <c r="B68">
        <v>3.5</v>
      </c>
      <c r="C68">
        <v>-28</v>
      </c>
      <c r="D68">
        <v>47</v>
      </c>
      <c r="E68">
        <v>-1</v>
      </c>
      <c r="F68">
        <v>39823</v>
      </c>
      <c r="G68">
        <v>39807.800000000003</v>
      </c>
      <c r="H68">
        <v>106255.5</v>
      </c>
      <c r="I68">
        <v>4.1900000000000004</v>
      </c>
      <c r="K68">
        <v>7.41</v>
      </c>
      <c r="L68">
        <v>8.82</v>
      </c>
      <c r="M68">
        <v>11.78</v>
      </c>
      <c r="N68">
        <v>8.59</v>
      </c>
      <c r="O68">
        <v>14.36</v>
      </c>
      <c r="P68">
        <v>6.74</v>
      </c>
      <c r="Q68">
        <v>12.62</v>
      </c>
      <c r="R68">
        <v>11.78</v>
      </c>
      <c r="S68">
        <v>16.600000000000001</v>
      </c>
      <c r="T68">
        <v>17.78</v>
      </c>
      <c r="U68">
        <v>7.59</v>
      </c>
    </row>
    <row r="69" spans="1:21" x14ac:dyDescent="0.3">
      <c r="A69" s="2">
        <v>45291</v>
      </c>
      <c r="B69">
        <v>3.5</v>
      </c>
      <c r="C69">
        <v>-32</v>
      </c>
      <c r="D69">
        <v>53</v>
      </c>
      <c r="E69">
        <v>-4</v>
      </c>
      <c r="F69">
        <v>38937.1</v>
      </c>
      <c r="G69">
        <v>38937.1</v>
      </c>
      <c r="H69">
        <v>104093.6</v>
      </c>
      <c r="I69">
        <v>4.08</v>
      </c>
      <c r="K69">
        <v>7.41</v>
      </c>
      <c r="L69">
        <v>8.81</v>
      </c>
      <c r="M69">
        <v>12.59</v>
      </c>
      <c r="N69">
        <v>8.74</v>
      </c>
      <c r="O69">
        <v>14.76</v>
      </c>
      <c r="P69">
        <v>6.95</v>
      </c>
      <c r="Q69">
        <v>14.12</v>
      </c>
      <c r="R69">
        <v>11.88</v>
      </c>
      <c r="S69">
        <v>16.82</v>
      </c>
      <c r="T69">
        <v>18.04</v>
      </c>
      <c r="U69">
        <v>7.95</v>
      </c>
    </row>
    <row r="70" spans="1:21" x14ac:dyDescent="0.3">
      <c r="A70" s="2">
        <v>45322</v>
      </c>
      <c r="B70">
        <v>3.5</v>
      </c>
      <c r="C70">
        <v>-32</v>
      </c>
      <c r="D70">
        <v>53</v>
      </c>
      <c r="E70">
        <v>-4</v>
      </c>
      <c r="F70">
        <v>38937.1</v>
      </c>
      <c r="G70">
        <v>38894.300000000003</v>
      </c>
      <c r="H70">
        <v>103217.1</v>
      </c>
      <c r="I70">
        <v>3.92</v>
      </c>
      <c r="K70">
        <v>7.41</v>
      </c>
      <c r="L70">
        <v>9.6999999999999993</v>
      </c>
      <c r="M70">
        <v>12.83</v>
      </c>
      <c r="N70">
        <v>8.68</v>
      </c>
      <c r="O70">
        <v>14.73</v>
      </c>
      <c r="P70">
        <v>6.76</v>
      </c>
      <c r="Q70">
        <v>11.91</v>
      </c>
      <c r="R70">
        <v>11.76</v>
      </c>
      <c r="S70">
        <v>16.52</v>
      </c>
      <c r="T70">
        <v>17.97</v>
      </c>
      <c r="U70">
        <v>7.45</v>
      </c>
    </row>
    <row r="71" spans="1:21" x14ac:dyDescent="0.3">
      <c r="A71" s="2">
        <v>45351</v>
      </c>
      <c r="B71">
        <v>3.5</v>
      </c>
      <c r="C71">
        <v>-32</v>
      </c>
      <c r="D71">
        <v>53</v>
      </c>
      <c r="E71">
        <v>-4</v>
      </c>
      <c r="F71">
        <v>38937.1</v>
      </c>
      <c r="G71">
        <v>38763.199999999997</v>
      </c>
      <c r="H71">
        <v>102330.1</v>
      </c>
      <c r="I71">
        <v>3.76</v>
      </c>
      <c r="K71">
        <v>7.41</v>
      </c>
      <c r="L71">
        <v>7.8</v>
      </c>
      <c r="M71">
        <v>12.46</v>
      </c>
      <c r="N71">
        <v>8.7899999999999991</v>
      </c>
      <c r="O71">
        <v>14.69</v>
      </c>
      <c r="P71">
        <v>6.69</v>
      </c>
      <c r="Q71">
        <v>13.38</v>
      </c>
      <c r="R71">
        <v>11.6</v>
      </c>
      <c r="S71">
        <v>16.39</v>
      </c>
      <c r="T71">
        <v>17.829999999999998</v>
      </c>
      <c r="U71">
        <v>8.4499999999999993</v>
      </c>
    </row>
    <row r="72" spans="1:21" x14ac:dyDescent="0.3">
      <c r="A72" s="2">
        <v>45382</v>
      </c>
      <c r="B72">
        <v>3.5</v>
      </c>
      <c r="C72">
        <v>-21</v>
      </c>
      <c r="D72">
        <v>41</v>
      </c>
      <c r="E72">
        <v>9</v>
      </c>
      <c r="F72">
        <v>38459.1</v>
      </c>
      <c r="G72">
        <v>38459.1</v>
      </c>
      <c r="H72">
        <v>101377.7</v>
      </c>
      <c r="I72">
        <v>3.74</v>
      </c>
      <c r="K72">
        <v>7.41</v>
      </c>
      <c r="L72">
        <v>8.34</v>
      </c>
      <c r="M72">
        <v>11.76</v>
      </c>
      <c r="N72">
        <v>8.1999999999999993</v>
      </c>
      <c r="O72">
        <v>14.51</v>
      </c>
      <c r="P72">
        <v>6.37</v>
      </c>
      <c r="Q72">
        <v>14.26</v>
      </c>
      <c r="R72">
        <v>11.64</v>
      </c>
      <c r="S72">
        <v>16.170000000000002</v>
      </c>
      <c r="T72">
        <v>17.600000000000001</v>
      </c>
      <c r="U72">
        <v>7.62</v>
      </c>
    </row>
    <row r="73" spans="1:21" x14ac:dyDescent="0.3">
      <c r="A73" s="2">
        <v>45412</v>
      </c>
      <c r="B73">
        <v>3.5</v>
      </c>
      <c r="C73">
        <v>-21</v>
      </c>
      <c r="D73">
        <v>41</v>
      </c>
      <c r="E73">
        <v>9</v>
      </c>
      <c r="F73">
        <v>38459.1</v>
      </c>
      <c r="G73">
        <v>38974.5</v>
      </c>
      <c r="H73">
        <v>100745.60000000001</v>
      </c>
      <c r="I73">
        <v>3.75</v>
      </c>
      <c r="K73">
        <v>7.41</v>
      </c>
      <c r="L73">
        <v>7.82</v>
      </c>
      <c r="M73">
        <v>11.93</v>
      </c>
      <c r="N73">
        <v>8.35</v>
      </c>
      <c r="O73">
        <v>13.79</v>
      </c>
      <c r="P73">
        <v>6.21</v>
      </c>
      <c r="Q73">
        <v>14.05</v>
      </c>
      <c r="R73">
        <v>11.56</v>
      </c>
      <c r="S73">
        <v>16.079999999999998</v>
      </c>
      <c r="T73">
        <v>17.399999999999999</v>
      </c>
      <c r="U73">
        <v>7.34</v>
      </c>
    </row>
    <row r="74" spans="1:21" x14ac:dyDescent="0.3">
      <c r="A74" s="2">
        <v>45443</v>
      </c>
      <c r="B74">
        <v>3.5</v>
      </c>
      <c r="C74">
        <v>-21</v>
      </c>
      <c r="D74">
        <v>41</v>
      </c>
      <c r="E74">
        <v>9</v>
      </c>
      <c r="F74">
        <v>38459.1</v>
      </c>
      <c r="G74">
        <v>39084.800000000003</v>
      </c>
      <c r="H74">
        <v>99951.5</v>
      </c>
      <c r="I74">
        <v>3.72</v>
      </c>
      <c r="K74">
        <v>7.41</v>
      </c>
      <c r="L74">
        <v>9.43</v>
      </c>
      <c r="M74">
        <v>11.95</v>
      </c>
      <c r="N74">
        <v>8.19</v>
      </c>
      <c r="O74">
        <v>14.4</v>
      </c>
      <c r="P74">
        <v>7.13</v>
      </c>
      <c r="Q74">
        <v>13.15</v>
      </c>
      <c r="R74">
        <v>11.73</v>
      </c>
      <c r="S74">
        <v>15.98</v>
      </c>
      <c r="T74">
        <v>17.309999999999999</v>
      </c>
      <c r="U74">
        <v>7.49</v>
      </c>
    </row>
    <row r="75" spans="1:21" x14ac:dyDescent="0.3">
      <c r="A75" s="2">
        <v>45473</v>
      </c>
      <c r="B75">
        <v>3.5</v>
      </c>
      <c r="C75">
        <v>-14</v>
      </c>
      <c r="D75">
        <v>33</v>
      </c>
      <c r="E75">
        <v>4</v>
      </c>
      <c r="F75">
        <v>38895.800000000003</v>
      </c>
      <c r="G75">
        <v>38895.800000000003</v>
      </c>
      <c r="H75">
        <v>98006.6</v>
      </c>
      <c r="I75">
        <v>3.67</v>
      </c>
      <c r="K75">
        <v>7.41</v>
      </c>
      <c r="L75">
        <v>9.91</v>
      </c>
      <c r="M75">
        <v>11.4</v>
      </c>
      <c r="N75">
        <v>7.93</v>
      </c>
      <c r="O75">
        <v>14.29</v>
      </c>
      <c r="P75">
        <v>6.29</v>
      </c>
      <c r="Q75">
        <v>12.76</v>
      </c>
      <c r="R75">
        <v>11.52</v>
      </c>
      <c r="S75">
        <v>15.96</v>
      </c>
      <c r="T75">
        <v>17.16</v>
      </c>
      <c r="U75">
        <v>7.24</v>
      </c>
    </row>
    <row r="76" spans="1:21" x14ac:dyDescent="0.3">
      <c r="A76" s="2">
        <v>45504</v>
      </c>
      <c r="B76">
        <v>3.5</v>
      </c>
      <c r="C76">
        <v>-14</v>
      </c>
      <c r="D76">
        <v>33</v>
      </c>
      <c r="E76">
        <v>4</v>
      </c>
      <c r="F76">
        <v>38895.800000000003</v>
      </c>
      <c r="G76">
        <v>39158.199999999997</v>
      </c>
      <c r="H76">
        <v>96941.5</v>
      </c>
      <c r="I76">
        <v>3.67</v>
      </c>
      <c r="K76">
        <v>7.41</v>
      </c>
      <c r="L76">
        <v>9.41</v>
      </c>
      <c r="M76">
        <v>11.72</v>
      </c>
      <c r="N76">
        <v>7.89</v>
      </c>
      <c r="O76">
        <v>14.31</v>
      </c>
      <c r="P76">
        <v>6.5</v>
      </c>
      <c r="Q76">
        <v>15.2</v>
      </c>
      <c r="R76">
        <v>11.33</v>
      </c>
      <c r="S76">
        <v>15.8</v>
      </c>
      <c r="T76">
        <v>17.059999999999999</v>
      </c>
      <c r="U76">
        <v>7.25</v>
      </c>
    </row>
    <row r="77" spans="1:21" x14ac:dyDescent="0.3">
      <c r="A77" s="2">
        <v>45535</v>
      </c>
      <c r="B77">
        <v>3.5</v>
      </c>
      <c r="C77">
        <v>-14</v>
      </c>
      <c r="D77">
        <v>33</v>
      </c>
      <c r="E77">
        <v>4</v>
      </c>
      <c r="F77">
        <v>38895.800000000003</v>
      </c>
      <c r="G77">
        <v>39570.5</v>
      </c>
      <c r="H77">
        <v>96592.9</v>
      </c>
      <c r="I77">
        <v>3.64</v>
      </c>
      <c r="K77">
        <v>7.41</v>
      </c>
      <c r="L77">
        <v>7.36</v>
      </c>
      <c r="M77">
        <v>11.69</v>
      </c>
      <c r="N77">
        <v>8.01</v>
      </c>
      <c r="O77">
        <v>13.98</v>
      </c>
      <c r="P77">
        <v>6.26</v>
      </c>
      <c r="Q77">
        <v>14.89</v>
      </c>
      <c r="R77">
        <v>11.27</v>
      </c>
      <c r="S77">
        <v>15.62</v>
      </c>
      <c r="T77">
        <v>16.84</v>
      </c>
      <c r="U77">
        <v>7.52</v>
      </c>
    </row>
    <row r="78" spans="1:21" x14ac:dyDescent="0.3">
      <c r="A78" s="2">
        <v>45565</v>
      </c>
      <c r="B78">
        <v>3.5</v>
      </c>
      <c r="C78">
        <v>-16</v>
      </c>
      <c r="D78">
        <v>30</v>
      </c>
      <c r="E78">
        <v>-7</v>
      </c>
      <c r="F78">
        <v>39417.4</v>
      </c>
      <c r="G78">
        <v>39417.4</v>
      </c>
      <c r="H78">
        <v>97089.3</v>
      </c>
      <c r="I78">
        <v>3.73</v>
      </c>
      <c r="K78">
        <v>7.41</v>
      </c>
      <c r="L78">
        <v>8.9499999999999993</v>
      </c>
      <c r="M78">
        <v>11.04</v>
      </c>
      <c r="N78">
        <v>7.77</v>
      </c>
      <c r="O78">
        <v>13.92</v>
      </c>
      <c r="P78">
        <v>6.08</v>
      </c>
      <c r="Q78">
        <v>14.62</v>
      </c>
      <c r="R78">
        <v>11.13</v>
      </c>
      <c r="S78">
        <v>15.61</v>
      </c>
      <c r="T78">
        <v>16.93</v>
      </c>
      <c r="U78">
        <v>7.28</v>
      </c>
    </row>
    <row r="79" spans="1:21" x14ac:dyDescent="0.3">
      <c r="A79" s="2">
        <v>45596</v>
      </c>
      <c r="B79">
        <v>3.25</v>
      </c>
      <c r="C79">
        <v>-16</v>
      </c>
      <c r="D79">
        <v>30</v>
      </c>
      <c r="E79">
        <v>-7</v>
      </c>
      <c r="F79">
        <v>39417.4</v>
      </c>
      <c r="G79">
        <v>39804.199999999997</v>
      </c>
      <c r="H79">
        <v>96918</v>
      </c>
      <c r="I79">
        <v>3.73</v>
      </c>
      <c r="K79">
        <v>7.41</v>
      </c>
      <c r="L79">
        <v>9.4700000000000006</v>
      </c>
      <c r="M79">
        <v>11.32</v>
      </c>
      <c r="N79">
        <v>7.39</v>
      </c>
      <c r="O79">
        <v>13.89</v>
      </c>
      <c r="P79">
        <v>6.03</v>
      </c>
      <c r="Q79">
        <v>14.76</v>
      </c>
      <c r="R79">
        <v>10.79</v>
      </c>
      <c r="S79">
        <v>15.39</v>
      </c>
      <c r="T79">
        <v>16.82</v>
      </c>
      <c r="U79">
        <v>6.64</v>
      </c>
    </row>
    <row r="80" spans="1:21" x14ac:dyDescent="0.3">
      <c r="A80" s="2">
        <v>45626</v>
      </c>
      <c r="B80">
        <v>3</v>
      </c>
      <c r="C80">
        <v>-16</v>
      </c>
      <c r="D80">
        <v>30</v>
      </c>
      <c r="E80">
        <v>-7</v>
      </c>
      <c r="F80">
        <v>39417.4</v>
      </c>
      <c r="G80">
        <v>40244.300000000003</v>
      </c>
      <c r="H80">
        <v>97107.5</v>
      </c>
      <c r="I80">
        <v>3.61</v>
      </c>
      <c r="K80">
        <v>7.41</v>
      </c>
      <c r="L80">
        <v>9.4600000000000009</v>
      </c>
      <c r="M80">
        <v>11.5</v>
      </c>
      <c r="N80">
        <v>7.89</v>
      </c>
      <c r="O80">
        <v>13.82</v>
      </c>
      <c r="P80">
        <v>5.87</v>
      </c>
      <c r="Q80">
        <v>13.73</v>
      </c>
      <c r="R80">
        <v>10.67</v>
      </c>
      <c r="S80">
        <v>15.36</v>
      </c>
      <c r="T80">
        <v>16.510000000000002</v>
      </c>
      <c r="U80">
        <v>6.86</v>
      </c>
    </row>
    <row r="81" spans="1:21" x14ac:dyDescent="0.3">
      <c r="A81" s="2">
        <v>45657</v>
      </c>
      <c r="B81">
        <v>3</v>
      </c>
      <c r="C81">
        <v>-12</v>
      </c>
      <c r="D81">
        <v>32</v>
      </c>
      <c r="E81">
        <v>-3</v>
      </c>
      <c r="F81">
        <v>40432.800000000003</v>
      </c>
      <c r="G81">
        <v>40432.800000000003</v>
      </c>
      <c r="H81">
        <v>97946.2</v>
      </c>
      <c r="I81">
        <v>3.44</v>
      </c>
      <c r="K81">
        <v>7.41</v>
      </c>
      <c r="L81">
        <v>9.0299999999999994</v>
      </c>
      <c r="M81">
        <v>10.93</v>
      </c>
      <c r="N81">
        <v>7.39</v>
      </c>
      <c r="O81">
        <v>13.59</v>
      </c>
      <c r="P81">
        <v>5.97</v>
      </c>
      <c r="Q81">
        <v>13.49</v>
      </c>
      <c r="R81">
        <v>10.65</v>
      </c>
      <c r="S81">
        <v>15.03</v>
      </c>
      <c r="T81">
        <v>16.600000000000001</v>
      </c>
      <c r="U81">
        <v>6.87</v>
      </c>
    </row>
    <row r="82" spans="1:21" x14ac:dyDescent="0.3">
      <c r="A82" s="2">
        <v>45688</v>
      </c>
      <c r="B82">
        <v>3</v>
      </c>
      <c r="C82">
        <v>-12</v>
      </c>
      <c r="D82">
        <v>32</v>
      </c>
      <c r="E82">
        <v>-3</v>
      </c>
      <c r="F82">
        <v>40432.800000000003</v>
      </c>
      <c r="G82">
        <v>40591.199999999997</v>
      </c>
      <c r="H82">
        <v>96731.199999999997</v>
      </c>
      <c r="I82">
        <v>3.3</v>
      </c>
      <c r="K82">
        <v>7.41</v>
      </c>
      <c r="L82">
        <v>9.61</v>
      </c>
      <c r="M82">
        <v>11.88</v>
      </c>
      <c r="N82">
        <v>7.87</v>
      </c>
      <c r="O82">
        <v>13.88</v>
      </c>
      <c r="P82">
        <v>5.96</v>
      </c>
      <c r="Q82">
        <v>14.58</v>
      </c>
      <c r="R82">
        <v>10.72</v>
      </c>
      <c r="S82">
        <v>15.2</v>
      </c>
      <c r="T82">
        <v>16.54</v>
      </c>
      <c r="U82">
        <v>6.57</v>
      </c>
    </row>
    <row r="83" spans="1:21" x14ac:dyDescent="0.3">
      <c r="A83" s="2">
        <v>45716</v>
      </c>
      <c r="B83">
        <v>2.75</v>
      </c>
      <c r="C83">
        <v>-12</v>
      </c>
      <c r="D83">
        <v>32</v>
      </c>
      <c r="E83">
        <v>-3</v>
      </c>
      <c r="F83">
        <v>40432.800000000003</v>
      </c>
      <c r="G83">
        <v>40640.300000000003</v>
      </c>
      <c r="H83">
        <v>96713.3</v>
      </c>
      <c r="I83">
        <v>3.1</v>
      </c>
      <c r="K83">
        <v>7.41</v>
      </c>
      <c r="L83">
        <v>9.2100000000000009</v>
      </c>
      <c r="M83">
        <v>11.22</v>
      </c>
      <c r="N83">
        <v>7.54</v>
      </c>
      <c r="O83">
        <v>13.86</v>
      </c>
      <c r="P83">
        <v>6.01</v>
      </c>
      <c r="Q83">
        <v>14.77</v>
      </c>
      <c r="R83">
        <v>10.36</v>
      </c>
      <c r="S83">
        <v>15.16</v>
      </c>
      <c r="T83">
        <v>16.510000000000002</v>
      </c>
      <c r="U83">
        <v>7.38</v>
      </c>
    </row>
    <row r="84" spans="1:21" x14ac:dyDescent="0.3">
      <c r="A84" s="2">
        <v>45747</v>
      </c>
      <c r="B84">
        <v>2.75</v>
      </c>
      <c r="C84">
        <v>-18</v>
      </c>
      <c r="D84">
        <v>28</v>
      </c>
      <c r="E84">
        <v>7</v>
      </c>
      <c r="F84">
        <v>40418.6</v>
      </c>
      <c r="G84">
        <v>40418.6</v>
      </c>
      <c r="H84">
        <v>96580</v>
      </c>
      <c r="I84">
        <v>2.98</v>
      </c>
      <c r="K84">
        <v>7.41</v>
      </c>
      <c r="L84">
        <v>9.51</v>
      </c>
      <c r="M84">
        <v>10.85</v>
      </c>
      <c r="N84">
        <v>7.28</v>
      </c>
      <c r="O84">
        <v>13.44</v>
      </c>
      <c r="P84">
        <v>5.66</v>
      </c>
      <c r="Q84">
        <v>13.34</v>
      </c>
      <c r="R84">
        <v>10.06</v>
      </c>
      <c r="S84">
        <v>14.99</v>
      </c>
      <c r="T84">
        <v>16.350000000000001</v>
      </c>
      <c r="U84">
        <v>6.54</v>
      </c>
    </row>
    <row r="85" spans="1:21" x14ac:dyDescent="0.3">
      <c r="A85" s="2">
        <v>45777</v>
      </c>
      <c r="B85">
        <v>2.75</v>
      </c>
      <c r="C85">
        <v>-18</v>
      </c>
      <c r="D85">
        <v>28</v>
      </c>
      <c r="E85">
        <v>7</v>
      </c>
      <c r="F85">
        <v>40418.6</v>
      </c>
      <c r="G85">
        <v>40783</v>
      </c>
      <c r="H85">
        <v>95875.199999999997</v>
      </c>
      <c r="I85">
        <v>2.98</v>
      </c>
      <c r="K85">
        <v>7.41</v>
      </c>
      <c r="L85">
        <v>9.0399999999999991</v>
      </c>
      <c r="M85">
        <v>10.72</v>
      </c>
      <c r="N85">
        <v>7.11</v>
      </c>
      <c r="O85">
        <v>13.34</v>
      </c>
      <c r="P85">
        <v>6.03</v>
      </c>
      <c r="Q85">
        <v>13.96</v>
      </c>
      <c r="R85">
        <v>9.51</v>
      </c>
      <c r="S85">
        <v>14.9</v>
      </c>
      <c r="T85">
        <v>16.399999999999999</v>
      </c>
      <c r="U85">
        <v>6.64</v>
      </c>
    </row>
    <row r="86" spans="1:21" x14ac:dyDescent="0.3">
      <c r="A86" s="2">
        <v>45808</v>
      </c>
      <c r="B86">
        <v>2.5</v>
      </c>
      <c r="C86">
        <v>-18</v>
      </c>
      <c r="D86">
        <v>28</v>
      </c>
      <c r="E86">
        <v>7</v>
      </c>
      <c r="F86">
        <v>40418.6</v>
      </c>
      <c r="G86">
        <v>41093.9</v>
      </c>
      <c r="H86">
        <v>95706.7</v>
      </c>
      <c r="I86">
        <v>2.98</v>
      </c>
      <c r="K86">
        <v>7.41</v>
      </c>
      <c r="L86">
        <v>9.08</v>
      </c>
      <c r="M86">
        <v>10.92</v>
      </c>
      <c r="N86">
        <v>7.17</v>
      </c>
      <c r="O86">
        <v>13.17</v>
      </c>
      <c r="P86">
        <v>6.1</v>
      </c>
      <c r="Q86">
        <v>13.53</v>
      </c>
      <c r="R86">
        <v>9.25</v>
      </c>
      <c r="S86">
        <v>14.92</v>
      </c>
      <c r="T86">
        <v>16.649999999999999</v>
      </c>
      <c r="U86">
        <v>6.2</v>
      </c>
    </row>
    <row r="87" spans="1:21" x14ac:dyDescent="0.3">
      <c r="A87" s="2">
        <v>45838</v>
      </c>
      <c r="B87">
        <v>2.5</v>
      </c>
      <c r="C87">
        <v>-18</v>
      </c>
      <c r="D87">
        <v>27</v>
      </c>
      <c r="E87">
        <v>5</v>
      </c>
      <c r="F87">
        <v>41061.800000000003</v>
      </c>
      <c r="G87">
        <v>41061.800000000003</v>
      </c>
      <c r="H87">
        <v>94974.6</v>
      </c>
      <c r="I87">
        <v>3.01</v>
      </c>
      <c r="K87">
        <v>7.41</v>
      </c>
      <c r="L87">
        <v>9.99</v>
      </c>
      <c r="M87">
        <v>10.09</v>
      </c>
      <c r="N87">
        <v>6.87</v>
      </c>
      <c r="O87">
        <v>13.11</v>
      </c>
      <c r="P87">
        <v>5.75</v>
      </c>
      <c r="Q87">
        <v>14.34</v>
      </c>
      <c r="R87">
        <v>8.98</v>
      </c>
      <c r="S87">
        <v>14.67</v>
      </c>
      <c r="T87">
        <v>16.52</v>
      </c>
      <c r="U87">
        <v>6.17</v>
      </c>
    </row>
    <row r="88" spans="1:21" x14ac:dyDescent="0.3">
      <c r="A88" s="2">
        <v>45869</v>
      </c>
      <c r="B88">
        <v>2.5</v>
      </c>
      <c r="C88">
        <v>-18</v>
      </c>
      <c r="D88">
        <v>27</v>
      </c>
      <c r="E88">
        <v>5</v>
      </c>
      <c r="F88">
        <v>41061.800000000003</v>
      </c>
      <c r="G88">
        <v>40775.1</v>
      </c>
      <c r="H88">
        <v>93862.7</v>
      </c>
      <c r="I88">
        <v>3.02</v>
      </c>
      <c r="K88">
        <v>7.41</v>
      </c>
      <c r="L88">
        <v>9.89</v>
      </c>
      <c r="M88">
        <v>9.76</v>
      </c>
      <c r="N88">
        <v>6.82</v>
      </c>
      <c r="O88">
        <v>12.78</v>
      </c>
      <c r="P88">
        <v>5.53</v>
      </c>
      <c r="Q88">
        <v>14.09</v>
      </c>
      <c r="R88">
        <v>8.92</v>
      </c>
      <c r="S88">
        <v>15.01</v>
      </c>
      <c r="T88">
        <v>16.309999999999999</v>
      </c>
      <c r="U88">
        <v>6.24</v>
      </c>
    </row>
    <row r="89" spans="1:21" x14ac:dyDescent="0.3">
      <c r="A89" s="2">
        <v>45900</v>
      </c>
      <c r="B89">
        <v>2.5</v>
      </c>
      <c r="C89">
        <v>-18</v>
      </c>
      <c r="D89">
        <v>27</v>
      </c>
      <c r="E89">
        <v>5</v>
      </c>
      <c r="F89">
        <v>41061.800000000003</v>
      </c>
      <c r="G89">
        <v>40817.800000000003</v>
      </c>
      <c r="H89">
        <v>94266</v>
      </c>
      <c r="I89">
        <v>2.99</v>
      </c>
      <c r="K89">
        <v>7.41</v>
      </c>
      <c r="L89">
        <v>9.16</v>
      </c>
      <c r="M89">
        <v>9.39</v>
      </c>
      <c r="N89">
        <v>6.67</v>
      </c>
      <c r="O89">
        <v>12.46</v>
      </c>
      <c r="P89">
        <v>4.99</v>
      </c>
      <c r="Q89">
        <v>14.21</v>
      </c>
      <c r="R89">
        <v>9.08</v>
      </c>
      <c r="S89">
        <v>14.96</v>
      </c>
      <c r="T89">
        <v>16.190000000000001</v>
      </c>
      <c r="U89">
        <v>6.32</v>
      </c>
    </row>
    <row r="90" spans="1:21" x14ac:dyDescent="0.3">
      <c r="A90" s="2">
        <v>45930</v>
      </c>
      <c r="B90">
        <v>2.5</v>
      </c>
      <c r="C90">
        <v>-23</v>
      </c>
      <c r="D90">
        <v>22</v>
      </c>
      <c r="E90">
        <v>5</v>
      </c>
      <c r="F90">
        <v>40287.4</v>
      </c>
      <c r="G90">
        <v>40287.4</v>
      </c>
      <c r="H90">
        <v>93432.3</v>
      </c>
      <c r="I90">
        <v>2.98</v>
      </c>
      <c r="J90">
        <v>0.3</v>
      </c>
      <c r="K90">
        <v>7.41</v>
      </c>
      <c r="L90">
        <v>9.85</v>
      </c>
      <c r="M90">
        <v>9.19</v>
      </c>
      <c r="N90">
        <v>6.71</v>
      </c>
      <c r="O90">
        <v>12.67</v>
      </c>
      <c r="P90">
        <v>5.0199999999999996</v>
      </c>
      <c r="Q90">
        <v>14.99</v>
      </c>
      <c r="R90">
        <v>8.8800000000000008</v>
      </c>
      <c r="S90">
        <v>14.92</v>
      </c>
      <c r="T90">
        <v>16.18</v>
      </c>
      <c r="U90">
        <v>5.79</v>
      </c>
    </row>
    <row r="91" spans="1:21" x14ac:dyDescent="0.3">
      <c r="A91" s="2">
        <v>45961</v>
      </c>
      <c r="B91">
        <v>2.5</v>
      </c>
      <c r="C91">
        <v>-23</v>
      </c>
      <c r="D91">
        <v>22</v>
      </c>
      <c r="E91">
        <v>5</v>
      </c>
      <c r="F91">
        <v>40287.4</v>
      </c>
      <c r="G91">
        <v>40110.199999999997</v>
      </c>
      <c r="H91">
        <v>93098.4</v>
      </c>
      <c r="I91">
        <v>2.79</v>
      </c>
      <c r="J91">
        <v>0.3</v>
      </c>
      <c r="K91">
        <v>7.41</v>
      </c>
      <c r="L91">
        <v>9.7100000000000009</v>
      </c>
      <c r="M91">
        <v>10</v>
      </c>
      <c r="N91">
        <v>6.8</v>
      </c>
      <c r="O91">
        <v>12.84</v>
      </c>
      <c r="P91">
        <v>5.2</v>
      </c>
      <c r="Q91">
        <v>14.95</v>
      </c>
      <c r="R91">
        <v>8.84</v>
      </c>
      <c r="S91">
        <v>14.81</v>
      </c>
      <c r="T91">
        <v>16.09</v>
      </c>
      <c r="U91">
        <v>5.99</v>
      </c>
    </row>
    <row r="92" spans="1:21" x14ac:dyDescent="0.3">
      <c r="A92" s="2">
        <v>45991</v>
      </c>
      <c r="B92">
        <v>2.5</v>
      </c>
      <c r="C92">
        <v>-23</v>
      </c>
      <c r="D92">
        <v>22</v>
      </c>
      <c r="E92">
        <v>5</v>
      </c>
      <c r="F92">
        <v>40287.4</v>
      </c>
      <c r="G92">
        <v>40080.199999999997</v>
      </c>
      <c r="H92">
        <v>93921.2</v>
      </c>
      <c r="I92">
        <v>2.75</v>
      </c>
      <c r="J92">
        <v>0.1</v>
      </c>
      <c r="K92">
        <v>7.41</v>
      </c>
      <c r="L92">
        <v>9.15</v>
      </c>
      <c r="M92">
        <v>9.19</v>
      </c>
      <c r="N92">
        <v>6.39</v>
      </c>
      <c r="O92">
        <v>12.56</v>
      </c>
      <c r="P92">
        <v>5.15</v>
      </c>
      <c r="Q92">
        <v>14.05</v>
      </c>
      <c r="R92">
        <v>9.07</v>
      </c>
      <c r="S92">
        <v>14.37</v>
      </c>
      <c r="T92">
        <v>15.81</v>
      </c>
      <c r="U92">
        <v>5.49</v>
      </c>
    </row>
    <row r="93" spans="1:21" x14ac:dyDescent="0.3">
      <c r="A93" s="2">
        <v>46022</v>
      </c>
      <c r="B93">
        <v>2.5</v>
      </c>
      <c r="C93">
        <v>-13</v>
      </c>
      <c r="D93">
        <v>12</v>
      </c>
      <c r="E93">
        <v>6</v>
      </c>
      <c r="F93">
        <v>39590.6</v>
      </c>
      <c r="G93">
        <v>39590.6</v>
      </c>
      <c r="H93">
        <v>93429.1</v>
      </c>
      <c r="I93">
        <v>3.02</v>
      </c>
      <c r="J93">
        <v>0.1</v>
      </c>
      <c r="K93">
        <v>7.41</v>
      </c>
      <c r="L93">
        <v>8.92</v>
      </c>
      <c r="M93">
        <v>9.2200000000000006</v>
      </c>
      <c r="N93">
        <v>6.64</v>
      </c>
      <c r="O93">
        <v>12.34</v>
      </c>
      <c r="P93">
        <v>4.91</v>
      </c>
      <c r="Q93">
        <v>13.17</v>
      </c>
      <c r="R93">
        <v>9.0500000000000007</v>
      </c>
      <c r="S93">
        <v>14.37</v>
      </c>
      <c r="T93">
        <v>15.87</v>
      </c>
      <c r="U93">
        <v>5.81</v>
      </c>
    </row>
    <row r="94" spans="1:21" x14ac:dyDescent="0.3">
      <c r="A94" s="2">
        <v>46053</v>
      </c>
      <c r="B94">
        <v>2.5</v>
      </c>
      <c r="C94">
        <v>-13</v>
      </c>
      <c r="D94">
        <v>12</v>
      </c>
      <c r="E94">
        <v>6</v>
      </c>
      <c r="F94">
        <v>39590.6</v>
      </c>
      <c r="G94">
        <v>39940.800000000003</v>
      </c>
      <c r="H94">
        <v>94208.6</v>
      </c>
      <c r="I94">
        <v>3</v>
      </c>
      <c r="J94">
        <v>0.1</v>
      </c>
      <c r="K94">
        <v>7.41</v>
      </c>
      <c r="L94">
        <v>9.0500000000000007</v>
      </c>
      <c r="M94">
        <v>9.44</v>
      </c>
      <c r="N94">
        <v>6.82</v>
      </c>
      <c r="O94">
        <v>11.57</v>
      </c>
      <c r="P94">
        <v>4.8499999999999996</v>
      </c>
      <c r="Q94">
        <v>14.18</v>
      </c>
      <c r="R94">
        <v>8.74</v>
      </c>
      <c r="S94">
        <v>14.64</v>
      </c>
      <c r="T94">
        <v>16.23</v>
      </c>
      <c r="U94">
        <v>6.06</v>
      </c>
    </row>
    <row r="95" spans="1:21" x14ac:dyDescent="0.3">
      <c r="A95" s="2">
        <v>46081</v>
      </c>
      <c r="B95">
        <v>2.5</v>
      </c>
      <c r="C95">
        <v>-13</v>
      </c>
      <c r="D95">
        <v>12</v>
      </c>
      <c r="E95">
        <v>6</v>
      </c>
      <c r="F95">
        <v>39590.6</v>
      </c>
      <c r="G95">
        <v>39803.800000000003</v>
      </c>
      <c r="H95">
        <v>94654.1</v>
      </c>
      <c r="I95">
        <v>3.05</v>
      </c>
      <c r="J95">
        <v>0.1</v>
      </c>
      <c r="K95">
        <v>7.41</v>
      </c>
      <c r="L95">
        <v>9.3000000000000007</v>
      </c>
      <c r="M95">
        <v>9.58</v>
      </c>
      <c r="N95">
        <v>6.74</v>
      </c>
      <c r="O95">
        <v>12.7</v>
      </c>
      <c r="P95">
        <v>4.91</v>
      </c>
      <c r="Q95">
        <v>14.15</v>
      </c>
      <c r="R95">
        <v>9.7899999999999991</v>
      </c>
      <c r="S95">
        <v>14.35</v>
      </c>
      <c r="T95">
        <v>15.88</v>
      </c>
      <c r="U95">
        <v>6.06</v>
      </c>
    </row>
    <row r="96" spans="1:21" x14ac:dyDescent="0.3">
      <c r="A96" s="2">
        <v>46112</v>
      </c>
      <c r="B96">
        <v>2.5</v>
      </c>
      <c r="C96">
        <v>-12</v>
      </c>
      <c r="D96">
        <v>16</v>
      </c>
      <c r="E96">
        <v>8</v>
      </c>
      <c r="F96">
        <v>39414.400000000001</v>
      </c>
      <c r="G96">
        <v>39414.400000000001</v>
      </c>
      <c r="H96">
        <v>95011.8</v>
      </c>
      <c r="I96">
        <v>3.22</v>
      </c>
      <c r="J96">
        <v>0.1</v>
      </c>
      <c r="K96">
        <v>7.41</v>
      </c>
      <c r="L96">
        <v>8.81</v>
      </c>
      <c r="M96">
        <v>9.0500000000000007</v>
      </c>
      <c r="N96">
        <v>6.43</v>
      </c>
      <c r="O96">
        <v>12.64</v>
      </c>
      <c r="P96">
        <v>5.13</v>
      </c>
      <c r="Q96">
        <v>12.98</v>
      </c>
      <c r="R96">
        <v>9.86</v>
      </c>
      <c r="S96">
        <v>14.28</v>
      </c>
      <c r="T96">
        <v>15.67</v>
      </c>
      <c r="U96">
        <v>5.78</v>
      </c>
    </row>
    <row r="97" spans="1:21" x14ac:dyDescent="0.3">
      <c r="A97" s="2">
        <v>46142</v>
      </c>
      <c r="B97">
        <v>2.5</v>
      </c>
      <c r="C97">
        <v>-12</v>
      </c>
      <c r="D97">
        <v>16</v>
      </c>
      <c r="E97">
        <v>8</v>
      </c>
      <c r="F97">
        <v>39414.400000000001</v>
      </c>
      <c r="G97">
        <v>39398.1</v>
      </c>
      <c r="H97">
        <v>95396.3</v>
      </c>
      <c r="I97">
        <v>3.34</v>
      </c>
      <c r="J97">
        <v>0.1</v>
      </c>
      <c r="K97">
        <v>7.41</v>
      </c>
      <c r="L97">
        <v>9.3699999999999992</v>
      </c>
      <c r="M97">
        <v>9.6199999999999992</v>
      </c>
      <c r="N97">
        <v>6.85</v>
      </c>
      <c r="O97">
        <v>12.88</v>
      </c>
      <c r="P97">
        <v>5.18</v>
      </c>
      <c r="Q97">
        <v>13.79</v>
      </c>
      <c r="R97">
        <v>9.9499999999999993</v>
      </c>
      <c r="S97">
        <v>13.96</v>
      </c>
      <c r="T97">
        <v>15.21</v>
      </c>
      <c r="U97">
        <v>5.71</v>
      </c>
    </row>
    <row r="98" spans="1:21" x14ac:dyDescent="0.3">
      <c r="A98" s="2">
        <v>46173</v>
      </c>
      <c r="B98">
        <v>2.5</v>
      </c>
      <c r="C98">
        <v>-12</v>
      </c>
      <c r="D98">
        <v>16</v>
      </c>
      <c r="E98">
        <v>8</v>
      </c>
      <c r="F98">
        <v>39414.400000000001</v>
      </c>
      <c r="G98">
        <v>39599.699999999997</v>
      </c>
      <c r="H98">
        <v>95804.3</v>
      </c>
      <c r="I98">
        <v>3.39</v>
      </c>
      <c r="J98">
        <v>0.6</v>
      </c>
      <c r="K98">
        <v>7.41</v>
      </c>
      <c r="L98">
        <v>9.08</v>
      </c>
      <c r="M98">
        <v>9.86</v>
      </c>
      <c r="N98">
        <v>6.81</v>
      </c>
      <c r="O98">
        <v>12.88</v>
      </c>
      <c r="P98">
        <v>5.55</v>
      </c>
      <c r="Q98">
        <v>13.97</v>
      </c>
      <c r="R98">
        <v>9.93</v>
      </c>
      <c r="S98">
        <v>14.02</v>
      </c>
      <c r="T98">
        <v>15.28</v>
      </c>
      <c r="U98">
        <v>6.02</v>
      </c>
    </row>
    <row r="99" spans="1:21" x14ac:dyDescent="0.3">
      <c r="A99" s="2">
        <v>46203</v>
      </c>
      <c r="B99">
        <v>2.5</v>
      </c>
      <c r="C99">
        <v>-11</v>
      </c>
      <c r="D99">
        <v>20</v>
      </c>
      <c r="E99">
        <v>5</v>
      </c>
      <c r="F99">
        <v>39348.1</v>
      </c>
      <c r="G99">
        <v>39348.1</v>
      </c>
      <c r="H99">
        <v>95739.8</v>
      </c>
      <c r="I99">
        <v>3.74</v>
      </c>
      <c r="J99">
        <v>0.6</v>
      </c>
      <c r="K99">
        <v>7.41</v>
      </c>
      <c r="L99">
        <v>9.2899999999999991</v>
      </c>
      <c r="M99">
        <v>9.48</v>
      </c>
      <c r="N99">
        <v>6.73</v>
      </c>
      <c r="O99">
        <v>12.8</v>
      </c>
      <c r="P99">
        <v>4.76</v>
      </c>
      <c r="Q99">
        <v>12.54</v>
      </c>
      <c r="R99">
        <v>10.19</v>
      </c>
      <c r="S99">
        <v>14.12</v>
      </c>
      <c r="T99">
        <v>15.51</v>
      </c>
      <c r="U99">
        <v>6</v>
      </c>
    </row>
    <row r="100" spans="1:21" x14ac:dyDescent="0.3">
      <c r="A100" s="2">
        <v>46234</v>
      </c>
      <c r="B100">
        <v>2.75</v>
      </c>
      <c r="C100">
        <v>-11</v>
      </c>
      <c r="D100">
        <v>20</v>
      </c>
      <c r="E100">
        <v>5</v>
      </c>
      <c r="F100">
        <v>39348.1</v>
      </c>
      <c r="G100">
        <v>39873.5</v>
      </c>
      <c r="H100">
        <v>96252.800000000003</v>
      </c>
      <c r="I100">
        <v>4.21</v>
      </c>
      <c r="J100">
        <v>0.6</v>
      </c>
      <c r="K100">
        <v>7.41</v>
      </c>
      <c r="L100">
        <v>9.39</v>
      </c>
      <c r="M100">
        <v>10.51</v>
      </c>
      <c r="N100">
        <v>7.02</v>
      </c>
      <c r="O100">
        <v>13.43</v>
      </c>
      <c r="P100">
        <v>5.2</v>
      </c>
      <c r="Q100">
        <v>13.69</v>
      </c>
      <c r="R100">
        <v>10.28</v>
      </c>
      <c r="S100">
        <v>14.37</v>
      </c>
      <c r="T100">
        <v>15.69</v>
      </c>
      <c r="U100">
        <v>6.54</v>
      </c>
    </row>
    <row r="101" spans="1:21" x14ac:dyDescent="0.3">
      <c r="A101" s="2">
        <v>46265</v>
      </c>
      <c r="B101">
        <v>3</v>
      </c>
      <c r="C101">
        <v>-11</v>
      </c>
      <c r="D101">
        <v>20</v>
      </c>
      <c r="E101">
        <v>5</v>
      </c>
      <c r="F101">
        <v>39348.1</v>
      </c>
      <c r="G101">
        <v>39873.5</v>
      </c>
      <c r="H101">
        <v>96252.800000000003</v>
      </c>
      <c r="I101">
        <v>3.88</v>
      </c>
      <c r="J101">
        <v>0.4</v>
      </c>
      <c r="K101">
        <v>7.41</v>
      </c>
      <c r="L101">
        <v>9.6</v>
      </c>
      <c r="M101">
        <v>10.23</v>
      </c>
      <c r="N101">
        <v>7.1</v>
      </c>
      <c r="O101">
        <v>13.38</v>
      </c>
      <c r="P101">
        <v>5.6</v>
      </c>
      <c r="Q101">
        <v>13.45</v>
      </c>
      <c r="R101">
        <v>10.36</v>
      </c>
      <c r="S101">
        <v>14.46</v>
      </c>
      <c r="T101">
        <v>15.79</v>
      </c>
      <c r="U101">
        <v>6.64</v>
      </c>
    </row>
    <row r="102" spans="1:21" x14ac:dyDescent="0.3">
      <c r="A102" s="2">
        <v>46295</v>
      </c>
      <c r="B102">
        <v>3</v>
      </c>
      <c r="C102">
        <v>-14</v>
      </c>
      <c r="D102">
        <v>26</v>
      </c>
      <c r="E102">
        <v>7</v>
      </c>
      <c r="F102">
        <v>39348.1</v>
      </c>
      <c r="G102">
        <v>39873.5</v>
      </c>
      <c r="H102">
        <v>96252.800000000003</v>
      </c>
      <c r="I102">
        <v>3.88</v>
      </c>
      <c r="J102">
        <v>0.5</v>
      </c>
      <c r="K102">
        <v>7.41</v>
      </c>
      <c r="L102">
        <v>9.6</v>
      </c>
      <c r="M102">
        <v>10.23</v>
      </c>
      <c r="N102">
        <v>7.1</v>
      </c>
      <c r="O102">
        <v>13.38</v>
      </c>
      <c r="P102">
        <v>5.6</v>
      </c>
      <c r="Q102">
        <v>13.45</v>
      </c>
      <c r="R102">
        <v>10.36</v>
      </c>
      <c r="S102">
        <v>14.46</v>
      </c>
      <c r="T102">
        <v>15.79</v>
      </c>
      <c r="U102">
        <v>6.64</v>
      </c>
    </row>
    <row r="103" spans="1:21" x14ac:dyDescent="0.3">
      <c r="A103" s="2">
        <v>46301</v>
      </c>
      <c r="B103">
        <v>3</v>
      </c>
      <c r="C103">
        <v>-14</v>
      </c>
      <c r="D103">
        <v>26</v>
      </c>
      <c r="E103">
        <v>7</v>
      </c>
      <c r="F103">
        <v>39348.1</v>
      </c>
      <c r="G103">
        <v>39873.5</v>
      </c>
      <c r="H103">
        <v>96252.800000000003</v>
      </c>
      <c r="I103">
        <v>3.88</v>
      </c>
      <c r="J103">
        <v>0.5</v>
      </c>
      <c r="K103">
        <v>7.41</v>
      </c>
      <c r="L103">
        <v>9.6</v>
      </c>
      <c r="M103">
        <v>10.23</v>
      </c>
      <c r="N103">
        <v>7.1</v>
      </c>
      <c r="O103">
        <v>13.38</v>
      </c>
      <c r="P103">
        <v>5.6</v>
      </c>
      <c r="Q103">
        <v>13.45</v>
      </c>
      <c r="R103">
        <v>10.36</v>
      </c>
      <c r="S103">
        <v>14.46</v>
      </c>
      <c r="T103">
        <v>15.79</v>
      </c>
      <c r="U103">
        <v>6.64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2026-10-06T07:36:18Z</dcterms:created>
  <dcterms:modified xsi:type="dcterms:W3CDTF">2026-10-06T07:37:27Z</dcterms:modified>
</cp:coreProperties>
</file>